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FIFO_Buy_Table" sheetId="3" state="visible" r:id="rId3"/>
    <sheet name="Holdings" sheetId="4" state="visible" r:id="rId4"/>
    <sheet name="Stock_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i val="1"/>
      <color rgb="00666666"/>
      <sz val="9"/>
    </font>
    <font>
      <b val="1"/>
      <sz val="10"/>
    </font>
    <font>
      <sz val="9"/>
    </font>
    <font>
      <b val="1"/>
      <color rgb="00FF0000"/>
    </font>
    <font>
      <b val="1"/>
      <color rgb="00FFFFFF"/>
      <sz val="16"/>
    </font>
    <font>
      <b val="1"/>
      <color rgb="00FFFFFF"/>
      <sz val="10"/>
    </font>
    <font>
      <b val="1"/>
      <sz val="12"/>
    </font>
    <font>
      <b val="1"/>
      <color rgb="00FFFFFF"/>
      <sz val="12"/>
    </font>
    <font>
      <b val="1"/>
      <color rgb="00FF0000"/>
      <sz val="12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10" fontId="9" fillId="7" borderId="0" applyAlignment="1" pivotButton="0" quotePrefix="0" xfId="0">
      <alignment horizontal="center" vertical="center"/>
    </xf>
    <xf numFmtId="0" fontId="10" fillId="3" borderId="0" pivotButton="0" quotePrefix="0" xfId="0"/>
    <xf numFmtId="0" fontId="1" fillId="3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9" fillId="0" borderId="0" pivotButton="0" quotePrefix="0" xfId="0"/>
    <xf numFmtId="0" fontId="11" fillId="8" borderId="0" pivotButton="0" quotePrefix="0" xfId="0"/>
    <xf numFmtId="0" fontId="8" fillId="9" borderId="0" applyAlignment="1" pivotButton="0" quotePrefix="0" xfId="0">
      <alignment horizontal="center" vertical="center"/>
    </xf>
    <xf numFmtId="3" fontId="9" fillId="7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6" borderId="0" pivotButton="0" quotePrefix="0" xfId="0"/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STOCK PORTFOLIO TRACKER - FIFO METHOD</t>
        </is>
      </c>
    </row>
    <row r="3">
      <c r="A3" s="2" t="inlineStr">
        <is>
          <t>Total Invested Value</t>
        </is>
      </c>
      <c r="B3" s="2" t="inlineStr">
        <is>
          <t>Current Portfolio Value</t>
        </is>
      </c>
      <c r="C3" s="2" t="inlineStr">
        <is>
          <t>Total Realized Profit</t>
        </is>
      </c>
      <c r="D3" s="2" t="inlineStr">
        <is>
          <t>Total Unrealized Profit</t>
        </is>
      </c>
      <c r="E3" s="2" t="inlineStr">
        <is>
          <t>Overall P&amp;L</t>
        </is>
      </c>
      <c r="F3" s="2" t="inlineStr">
        <is>
          <t>Return %</t>
        </is>
      </c>
    </row>
    <row r="4">
      <c r="A4" s="3">
        <f>SUMIFS(Holdings!D:D,Holdings!B:B,"&gt;0")</f>
        <v/>
      </c>
      <c r="B4" s="3">
        <f>SUM(Holdings!F:F)</f>
        <v/>
      </c>
      <c r="C4" s="3">
        <f>SUMIFS(Transactions!G:G,Transactions!C:C,"Sell")-SUMIF(FIFO_Buy_Table!H:H,"&gt;0",FIFO_Buy_Table!H:H)*SUMIF(FIFO_Buy_Table!H:H,"&gt;0",FIFO_Buy_Table!D:D)</f>
        <v/>
      </c>
      <c r="D4" s="3">
        <f>SUM(Holdings!G:G)</f>
        <v/>
      </c>
      <c r="E4" s="3">
        <f>C4+D4</f>
        <v/>
      </c>
      <c r="F4" s="4">
        <f>IF(A4=0,"",E4/A4)</f>
        <v/>
      </c>
    </row>
    <row r="7">
      <c r="A7" s="5" t="inlineStr">
        <is>
          <t>CURRENT HOLDINGS SUMMARY</t>
        </is>
      </c>
    </row>
    <row r="9">
      <c r="A9" s="6">
        <f>Holdings!A1</f>
        <v/>
      </c>
      <c r="B9" s="6">
        <f>Holdings!B1</f>
        <v/>
      </c>
      <c r="C9" s="6">
        <f>Holdings!C1</f>
        <v/>
      </c>
      <c r="D9" s="6">
        <f>Holdings!D1</f>
        <v/>
      </c>
      <c r="E9" s="6">
        <f>Holdings!E1</f>
        <v/>
      </c>
      <c r="F9" s="6">
        <f>Holdings!F1</f>
        <v/>
      </c>
    </row>
    <row r="10">
      <c r="A10">
        <f>IFERROR(Holdings!A2,"")</f>
        <v/>
      </c>
      <c r="B10" s="7">
        <f>IFERROR(Holdings!B2,"")</f>
        <v/>
      </c>
      <c r="C10" s="8">
        <f>IFERROR(Holdings!C2,"")</f>
        <v/>
      </c>
      <c r="D10" s="8">
        <f>IFERROR(Holdings!D2,"")</f>
        <v/>
      </c>
      <c r="E10" s="8">
        <f>IFERROR(Holdings!E2,"")</f>
        <v/>
      </c>
      <c r="F10" s="8">
        <f>IFERROR(Holdings!F2,"")</f>
        <v/>
      </c>
    </row>
    <row r="11">
      <c r="A11">
        <f>IFERROR(Holdings!A3,"")</f>
        <v/>
      </c>
      <c r="B11" s="7">
        <f>IFERROR(Holdings!B3,"")</f>
        <v/>
      </c>
      <c r="C11" s="8">
        <f>IFERROR(Holdings!C3,"")</f>
        <v/>
      </c>
      <c r="D11" s="8">
        <f>IFERROR(Holdings!D3,"")</f>
        <v/>
      </c>
      <c r="E11" s="8">
        <f>IFERROR(Holdings!E3,"")</f>
        <v/>
      </c>
      <c r="F11" s="8">
        <f>IFERROR(Holdings!F3,"")</f>
        <v/>
      </c>
    </row>
    <row r="12">
      <c r="A12">
        <f>IFERROR(Holdings!A4,"")</f>
        <v/>
      </c>
      <c r="B12" s="7">
        <f>IFERROR(Holdings!B4,"")</f>
        <v/>
      </c>
      <c r="C12" s="8">
        <f>IFERROR(Holdings!C4,"")</f>
        <v/>
      </c>
      <c r="D12" s="8">
        <f>IFERROR(Holdings!D4,"")</f>
        <v/>
      </c>
      <c r="E12" s="8">
        <f>IFERROR(Holdings!E4,"")</f>
        <v/>
      </c>
      <c r="F12" s="8">
        <f>IFERROR(Holdings!F4,"")</f>
        <v/>
      </c>
    </row>
    <row r="13">
      <c r="A13">
        <f>IFERROR(Holdings!A5,"")</f>
        <v/>
      </c>
      <c r="B13" s="7">
        <f>IFERROR(Holdings!B5,"")</f>
        <v/>
      </c>
      <c r="C13" s="8">
        <f>IFERROR(Holdings!C5,"")</f>
        <v/>
      </c>
      <c r="D13" s="8">
        <f>IFERROR(Holdings!D5,"")</f>
        <v/>
      </c>
      <c r="E13" s="8">
        <f>IFERROR(Holdings!E5,"")</f>
        <v/>
      </c>
      <c r="F13" s="8">
        <f>IFERROR(Holdings!F5,"")</f>
        <v/>
      </c>
    </row>
    <row r="14">
      <c r="A14">
        <f>IFERROR(Holdings!A6,"")</f>
        <v/>
      </c>
      <c r="B14" s="7">
        <f>IFERROR(Holdings!B6,"")</f>
        <v/>
      </c>
      <c r="C14" s="8">
        <f>IFERROR(Holdings!C6,"")</f>
        <v/>
      </c>
      <c r="D14" s="8">
        <f>IFERROR(Holdings!D6,"")</f>
        <v/>
      </c>
      <c r="E14" s="8">
        <f>IFERROR(Holdings!E6,"")</f>
        <v/>
      </c>
      <c r="F14" s="8">
        <f>IFERROR(Holdings!F6,"")</f>
        <v/>
      </c>
    </row>
    <row r="15">
      <c r="A15">
        <f>IFERROR(Holdings!A7,"")</f>
        <v/>
      </c>
      <c r="B15" s="7">
        <f>IFERROR(Holdings!B7,"")</f>
        <v/>
      </c>
      <c r="C15" s="8">
        <f>IFERROR(Holdings!C7,"")</f>
        <v/>
      </c>
      <c r="D15" s="8">
        <f>IFERROR(Holdings!D7,"")</f>
        <v/>
      </c>
      <c r="E15" s="8">
        <f>IFERROR(Holdings!E7,"")</f>
        <v/>
      </c>
      <c r="F15" s="8">
        <f>IFERROR(Holdings!F7,"")</f>
        <v/>
      </c>
    </row>
    <row r="16">
      <c r="A16">
        <f>IFERROR(Holdings!A8,"")</f>
        <v/>
      </c>
      <c r="B16" s="7">
        <f>IFERROR(Holdings!B8,"")</f>
        <v/>
      </c>
      <c r="C16" s="8">
        <f>IFERROR(Holdings!C8,"")</f>
        <v/>
      </c>
      <c r="D16" s="8">
        <f>IFERROR(Holdings!D8,"")</f>
        <v/>
      </c>
      <c r="E16" s="8">
        <f>IFERROR(Holdings!E8,"")</f>
        <v/>
      </c>
      <c r="F16" s="8">
        <f>IFERROR(Holdings!F8,"")</f>
        <v/>
      </c>
    </row>
    <row r="17">
      <c r="A17">
        <f>IFERROR(Holdings!A9,"")</f>
        <v/>
      </c>
      <c r="B17" s="7">
        <f>IFERROR(Holdings!B9,"")</f>
        <v/>
      </c>
      <c r="C17" s="8">
        <f>IFERROR(Holdings!C9,"")</f>
        <v/>
      </c>
      <c r="D17" s="8">
        <f>IFERROR(Holdings!D9,"")</f>
        <v/>
      </c>
      <c r="E17" s="8">
        <f>IFERROR(Holdings!E9,"")</f>
        <v/>
      </c>
      <c r="F17" s="8">
        <f>IFERROR(Holdings!F9,"")</f>
        <v/>
      </c>
    </row>
    <row r="18">
      <c r="A18">
        <f>IFERROR(Holdings!A10,"")</f>
        <v/>
      </c>
      <c r="B18" s="7">
        <f>IFERROR(Holdings!B10,"")</f>
        <v/>
      </c>
      <c r="C18" s="8">
        <f>IFERROR(Holdings!C10,"")</f>
        <v/>
      </c>
      <c r="D18" s="8">
        <f>IFERROR(Holdings!D10,"")</f>
        <v/>
      </c>
      <c r="E18" s="8">
        <f>IFERROR(Holdings!E10,"")</f>
        <v/>
      </c>
      <c r="F18" s="8">
        <f>IFERROR(Holdings!F10,"")</f>
        <v/>
      </c>
    </row>
    <row r="19">
      <c r="A19">
        <f>IFERROR(Holdings!A11,"")</f>
        <v/>
      </c>
      <c r="B19" s="7">
        <f>IFERROR(Holdings!B11,"")</f>
        <v/>
      </c>
      <c r="C19" s="8">
        <f>IFERROR(Holdings!C11,"")</f>
        <v/>
      </c>
      <c r="D19" s="8">
        <f>IFERROR(Holdings!D11,"")</f>
        <v/>
      </c>
      <c r="E19" s="8">
        <f>IFERROR(Holdings!E11,"")</f>
        <v/>
      </c>
      <c r="F19" s="8">
        <f>IFERROR(Holdings!F11,"")</f>
        <v/>
      </c>
    </row>
    <row r="20">
      <c r="A20">
        <f>IFERROR(Holdings!A12,"")</f>
        <v/>
      </c>
      <c r="B20" s="7">
        <f>IFERROR(Holdings!B12,"")</f>
        <v/>
      </c>
      <c r="C20" s="8">
        <f>IFERROR(Holdings!C12,"")</f>
        <v/>
      </c>
      <c r="D20" s="8">
        <f>IFERROR(Holdings!D12,"")</f>
        <v/>
      </c>
      <c r="E20" s="8">
        <f>IFERROR(Holdings!E12,"")</f>
        <v/>
      </c>
      <c r="F20" s="8">
        <f>IFERROR(Holdings!F12,"")</f>
        <v/>
      </c>
    </row>
    <row r="21">
      <c r="A21">
        <f>IFERROR(Holdings!A13,"")</f>
        <v/>
      </c>
      <c r="B21" s="7">
        <f>IFERROR(Holdings!B13,"")</f>
        <v/>
      </c>
      <c r="C21" s="8">
        <f>IFERROR(Holdings!C13,"")</f>
        <v/>
      </c>
      <c r="D21" s="8">
        <f>IFERROR(Holdings!D13,"")</f>
        <v/>
      </c>
      <c r="E21" s="8">
        <f>IFERROR(Holdings!E13,"")</f>
        <v/>
      </c>
      <c r="F21" s="8">
        <f>IFERROR(Holdings!F13,"")</f>
        <v/>
      </c>
    </row>
    <row r="22">
      <c r="A22">
        <f>IFERROR(Holdings!A14,"")</f>
        <v/>
      </c>
      <c r="B22" s="7">
        <f>IFERROR(Holdings!B14,"")</f>
        <v/>
      </c>
      <c r="C22" s="8">
        <f>IFERROR(Holdings!C14,"")</f>
        <v/>
      </c>
      <c r="D22" s="8">
        <f>IFERROR(Holdings!D14,"")</f>
        <v/>
      </c>
      <c r="E22" s="8">
        <f>IFERROR(Holdings!E14,"")</f>
        <v/>
      </c>
      <c r="F22" s="8">
        <f>IFERROR(Holdings!F14,"")</f>
        <v/>
      </c>
    </row>
    <row r="23">
      <c r="A23">
        <f>IFERROR(Holdings!A15,"")</f>
        <v/>
      </c>
      <c r="B23" s="7">
        <f>IFERROR(Holdings!B15,"")</f>
        <v/>
      </c>
      <c r="C23" s="8">
        <f>IFERROR(Holdings!C15,"")</f>
        <v/>
      </c>
      <c r="D23" s="8">
        <f>IFERROR(Holdings!D15,"")</f>
        <v/>
      </c>
      <c r="E23" s="8">
        <f>IFERROR(Holdings!E15,"")</f>
        <v/>
      </c>
      <c r="F23" s="8">
        <f>IFERROR(Holdings!F15,"")</f>
        <v/>
      </c>
    </row>
    <row r="24">
      <c r="A24">
        <f>IFERROR(Holdings!A16,"")</f>
        <v/>
      </c>
      <c r="B24" s="7">
        <f>IFERROR(Holdings!B16,"")</f>
        <v/>
      </c>
      <c r="C24" s="8">
        <f>IFERROR(Holdings!C16,"")</f>
        <v/>
      </c>
      <c r="D24" s="8">
        <f>IFERROR(Holdings!D16,"")</f>
        <v/>
      </c>
      <c r="E24" s="8">
        <f>IFERROR(Holdings!E16,"")</f>
        <v/>
      </c>
      <c r="F24" s="8">
        <f>IFERROR(Holdings!F16,"")</f>
        <v/>
      </c>
    </row>
    <row r="25">
      <c r="A25">
        <f>IFERROR(Holdings!A17,"")</f>
        <v/>
      </c>
      <c r="B25" s="7">
        <f>IFERROR(Holdings!B17,"")</f>
        <v/>
      </c>
      <c r="C25" s="8">
        <f>IFERROR(Holdings!C17,"")</f>
        <v/>
      </c>
      <c r="D25" s="8">
        <f>IFERROR(Holdings!D17,"")</f>
        <v/>
      </c>
      <c r="E25" s="8">
        <f>IFERROR(Holdings!E17,"")</f>
        <v/>
      </c>
      <c r="F25" s="8">
        <f>IFERROR(Holdings!F17,"")</f>
        <v/>
      </c>
    </row>
    <row r="26">
      <c r="A26">
        <f>IFERROR(Holdings!A18,"")</f>
        <v/>
      </c>
      <c r="B26" s="7">
        <f>IFERROR(Holdings!B18,"")</f>
        <v/>
      </c>
      <c r="C26" s="8">
        <f>IFERROR(Holdings!C18,"")</f>
        <v/>
      </c>
      <c r="D26" s="8">
        <f>IFERROR(Holdings!D18,"")</f>
        <v/>
      </c>
      <c r="E26" s="8">
        <f>IFERROR(Holdings!E18,"")</f>
        <v/>
      </c>
      <c r="F26" s="8">
        <f>IFERROR(Holdings!F18,"")</f>
        <v/>
      </c>
    </row>
    <row r="27">
      <c r="A27">
        <f>IFERROR(Holdings!A19,"")</f>
        <v/>
      </c>
      <c r="B27" s="7">
        <f>IFERROR(Holdings!B19,"")</f>
        <v/>
      </c>
      <c r="C27" s="8">
        <f>IFERROR(Holdings!C19,"")</f>
        <v/>
      </c>
      <c r="D27" s="8">
        <f>IFERROR(Holdings!D19,"")</f>
        <v/>
      </c>
      <c r="E27" s="8">
        <f>IFERROR(Holdings!E19,"")</f>
        <v/>
      </c>
      <c r="F27" s="8">
        <f>IFERROR(Holdings!F19,"")</f>
        <v/>
      </c>
    </row>
    <row r="28">
      <c r="A28">
        <f>IFERROR(Holdings!A20,"")</f>
        <v/>
      </c>
      <c r="B28" s="7">
        <f>IFERROR(Holdings!B20,"")</f>
        <v/>
      </c>
      <c r="C28" s="8">
        <f>IFERROR(Holdings!C20,"")</f>
        <v/>
      </c>
      <c r="D28" s="8">
        <f>IFERROR(Holdings!D20,"")</f>
        <v/>
      </c>
      <c r="E28" s="8">
        <f>IFERROR(Holdings!E20,"")</f>
        <v/>
      </c>
      <c r="F28" s="8">
        <f>IFERROR(Holdings!F20,"")</f>
        <v/>
      </c>
    </row>
    <row r="29">
      <c r="A29">
        <f>IFERROR(Holdings!A21,"")</f>
        <v/>
      </c>
      <c r="B29" s="7">
        <f>IFERROR(Holdings!B21,"")</f>
        <v/>
      </c>
      <c r="C29" s="8">
        <f>IFERROR(Holdings!C21,"")</f>
        <v/>
      </c>
      <c r="D29" s="8">
        <f>IFERROR(Holdings!D21,"")</f>
        <v/>
      </c>
      <c r="E29" s="8">
        <f>IFERROR(Holdings!E21,"")</f>
        <v/>
      </c>
      <c r="F29" s="8">
        <f>IFERROR(Holdings!F21,"")</f>
        <v/>
      </c>
    </row>
  </sheetData>
  <mergeCells count="2"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Stock Name</t>
        </is>
      </c>
      <c r="C1" s="9" t="inlineStr">
        <is>
          <t>Transaction Type</t>
        </is>
      </c>
      <c r="D1" s="9" t="inlineStr">
        <is>
          <t>Quantity</t>
        </is>
      </c>
      <c r="E1" s="9" t="inlineStr">
        <is>
          <t>Price per Share</t>
        </is>
      </c>
      <c r="F1" s="9" t="inlineStr">
        <is>
          <t>Brokerage/STT</t>
        </is>
      </c>
      <c r="G1" s="9" t="inlineStr">
        <is>
          <t>Total Amount</t>
        </is>
      </c>
    </row>
    <row r="2">
      <c r="G2">
        <f>IF(AND(D2&lt;&gt;"",E2&lt;&gt;""),D2*E2+IF(ISBLANK(F2),0,F2),"")</f>
        <v/>
      </c>
    </row>
    <row r="3">
      <c r="G3">
        <f>IF(AND(D3&lt;&gt;"",E3&lt;&gt;""),D3*E3+IF(ISBLANK(F3),0,F3),"")</f>
        <v/>
      </c>
    </row>
    <row r="4">
      <c r="G4">
        <f>IF(AND(D4&lt;&gt;"",E4&lt;&gt;""),D4*E4+IF(ISBLANK(F4),0,F4),"")</f>
        <v/>
      </c>
    </row>
    <row r="5">
      <c r="G5">
        <f>IF(AND(D5&lt;&gt;"",E5&lt;&gt;""),D5*E5+IF(ISBLANK(F5),0,F5),"")</f>
        <v/>
      </c>
    </row>
    <row r="6">
      <c r="G6">
        <f>IF(AND(D6&lt;&gt;"",E6&lt;&gt;""),D6*E6+IF(ISBLANK(F6),0,F6),"")</f>
        <v/>
      </c>
    </row>
    <row r="7">
      <c r="G7">
        <f>IF(AND(D7&lt;&gt;"",E7&lt;&gt;""),D7*E7+IF(ISBLANK(F7),0,F7),"")</f>
        <v/>
      </c>
    </row>
    <row r="8">
      <c r="G8">
        <f>IF(AND(D8&lt;&gt;"",E8&lt;&gt;""),D8*E8+IF(ISBLANK(F8),0,F8),"")</f>
        <v/>
      </c>
    </row>
    <row r="9">
      <c r="G9">
        <f>IF(AND(D9&lt;&gt;"",E9&lt;&gt;""),D9*E9+IF(ISBLANK(F9),0,F9),"")</f>
        <v/>
      </c>
    </row>
    <row r="10">
      <c r="G10">
        <f>IF(AND(D10&lt;&gt;"",E10&lt;&gt;""),D10*E10+IF(ISBLANK(F10),0,F10),"")</f>
        <v/>
      </c>
    </row>
    <row r="11">
      <c r="G11">
        <f>IF(AND(D11&lt;&gt;"",E11&lt;&gt;""),D11*E11+IF(ISBLANK(F11),0,F11),"")</f>
        <v/>
      </c>
    </row>
    <row r="12">
      <c r="G12">
        <f>IF(AND(D12&lt;&gt;"",E12&lt;&gt;""),D12*E12+IF(ISBLANK(F12),0,F12),"")</f>
        <v/>
      </c>
    </row>
    <row r="13">
      <c r="G13">
        <f>IF(AND(D13&lt;&gt;"",E13&lt;&gt;""),D13*E13+IF(ISBLANK(F13),0,F13),"")</f>
        <v/>
      </c>
    </row>
    <row r="14">
      <c r="G14">
        <f>IF(AND(D14&lt;&gt;"",E14&lt;&gt;""),D14*E14+IF(ISBLANK(F14),0,F14),"")</f>
        <v/>
      </c>
    </row>
    <row r="15">
      <c r="G15">
        <f>IF(AND(D15&lt;&gt;"",E15&lt;&gt;""),D15*E15+IF(ISBLANK(F15),0,F15),"")</f>
        <v/>
      </c>
    </row>
    <row r="16">
      <c r="G16">
        <f>IF(AND(D16&lt;&gt;"",E16&lt;&gt;""),D16*E16+IF(ISBLANK(F16),0,F16),"")</f>
        <v/>
      </c>
    </row>
    <row r="17">
      <c r="G17">
        <f>IF(AND(D17&lt;&gt;"",E17&lt;&gt;""),D17*E17+IF(ISBLANK(F17),0,F17),"")</f>
        <v/>
      </c>
    </row>
    <row r="18">
      <c r="G18">
        <f>IF(AND(D18&lt;&gt;"",E18&lt;&gt;""),D18*E18+IF(ISBLANK(F18),0,F18),"")</f>
        <v/>
      </c>
    </row>
    <row r="19">
      <c r="G19">
        <f>IF(AND(D19&lt;&gt;"",E19&lt;&gt;""),D19*E19+IF(ISBLANK(F19),0,F19),"")</f>
        <v/>
      </c>
    </row>
    <row r="20">
      <c r="G20">
        <f>IF(AND(D20&lt;&gt;"",E20&lt;&gt;""),D20*E20+IF(ISBLANK(F20),0,F20),"")</f>
        <v/>
      </c>
    </row>
    <row r="21">
      <c r="G21">
        <f>IF(AND(D21&lt;&gt;"",E21&lt;&gt;""),D21*E21+IF(ISBLANK(F21),0,F21),"")</f>
        <v/>
      </c>
    </row>
    <row r="22">
      <c r="G22">
        <f>IF(AND(D22&lt;&gt;"",E22&lt;&gt;""),D22*E22+IF(ISBLANK(F22),0,F22),"")</f>
        <v/>
      </c>
    </row>
    <row r="23">
      <c r="G23">
        <f>IF(AND(D23&lt;&gt;"",E23&lt;&gt;""),D23*E23+IF(ISBLANK(F23),0,F23),"")</f>
        <v/>
      </c>
    </row>
    <row r="24">
      <c r="G24">
        <f>IF(AND(D24&lt;&gt;"",E24&lt;&gt;""),D24*E24+IF(ISBLANK(F24),0,F24),"")</f>
        <v/>
      </c>
    </row>
    <row r="25">
      <c r="G25">
        <f>IF(AND(D25&lt;&gt;"",E25&lt;&gt;""),D25*E25+IF(ISBLANK(F25),0,F25),"")</f>
        <v/>
      </c>
    </row>
    <row r="26">
      <c r="G26">
        <f>IF(AND(D26&lt;&gt;"",E26&lt;&gt;""),D26*E26+IF(ISBLANK(F26),0,F26),"")</f>
        <v/>
      </c>
    </row>
    <row r="27">
      <c r="G27">
        <f>IF(AND(D27&lt;&gt;"",E27&lt;&gt;""),D27*E27+IF(ISBLANK(F27),0,F27),"")</f>
        <v/>
      </c>
    </row>
    <row r="28">
      <c r="G28">
        <f>IF(AND(D28&lt;&gt;"",E28&lt;&gt;""),D28*E28+IF(ISBLANK(F28),0,F28),"")</f>
        <v/>
      </c>
    </row>
    <row r="29">
      <c r="G29">
        <f>IF(AND(D29&lt;&gt;"",E29&lt;&gt;""),D29*E29+IF(ISBLANK(F29),0,F29),"")</f>
        <v/>
      </c>
    </row>
    <row r="30">
      <c r="G30">
        <f>IF(AND(D30&lt;&gt;"",E30&lt;&gt;""),D30*E30+IF(ISBLANK(F30),0,F30),"")</f>
        <v/>
      </c>
    </row>
    <row r="31">
      <c r="G31">
        <f>IF(AND(D31&lt;&gt;"",E31&lt;&gt;""),D31*E31+IF(ISBLANK(F31),0,F31),"")</f>
        <v/>
      </c>
    </row>
    <row r="32">
      <c r="G32">
        <f>IF(AND(D32&lt;&gt;"",E32&lt;&gt;""),D32*E32+IF(ISBLANK(F32),0,F32),"")</f>
        <v/>
      </c>
    </row>
    <row r="33">
      <c r="G33">
        <f>IF(AND(D33&lt;&gt;"",E33&lt;&gt;""),D33*E33+IF(ISBLANK(F33),0,F33),"")</f>
        <v/>
      </c>
    </row>
    <row r="34">
      <c r="G34">
        <f>IF(AND(D34&lt;&gt;"",E34&lt;&gt;""),D34*E34+IF(ISBLANK(F34),0,F34),"")</f>
        <v/>
      </c>
    </row>
    <row r="35">
      <c r="G35">
        <f>IF(AND(D35&lt;&gt;"",E35&lt;&gt;""),D35*E35+IF(ISBLANK(F35),0,F35),"")</f>
        <v/>
      </c>
    </row>
    <row r="36">
      <c r="G36">
        <f>IF(AND(D36&lt;&gt;"",E36&lt;&gt;""),D36*E36+IF(ISBLANK(F36),0,F36),"")</f>
        <v/>
      </c>
    </row>
    <row r="37">
      <c r="G37">
        <f>IF(AND(D37&lt;&gt;"",E37&lt;&gt;""),D37*E37+IF(ISBLANK(F37),0,F37),"")</f>
        <v/>
      </c>
    </row>
    <row r="38">
      <c r="G38">
        <f>IF(AND(D38&lt;&gt;"",E38&lt;&gt;""),D38*E38+IF(ISBLANK(F38),0,F38),"")</f>
        <v/>
      </c>
    </row>
    <row r="39">
      <c r="G39">
        <f>IF(AND(D39&lt;&gt;"",E39&lt;&gt;""),D39*E39+IF(ISBLANK(F39),0,F39),"")</f>
        <v/>
      </c>
    </row>
    <row r="40">
      <c r="G40">
        <f>IF(AND(D40&lt;&gt;"",E40&lt;&gt;""),D40*E40+IF(ISBLANK(F40),0,F40),"")</f>
        <v/>
      </c>
    </row>
    <row r="41">
      <c r="G41">
        <f>IF(AND(D41&lt;&gt;"",E41&lt;&gt;""),D41*E41+IF(ISBLANK(F41),0,F41),"")</f>
        <v/>
      </c>
    </row>
    <row r="42">
      <c r="G42">
        <f>IF(AND(D42&lt;&gt;"",E42&lt;&gt;""),D42*E42+IF(ISBLANK(F42),0,F42),"")</f>
        <v/>
      </c>
    </row>
    <row r="43">
      <c r="G43">
        <f>IF(AND(D43&lt;&gt;"",E43&lt;&gt;""),D43*E43+IF(ISBLANK(F43),0,F43),"")</f>
        <v/>
      </c>
    </row>
    <row r="44">
      <c r="G44">
        <f>IF(AND(D44&lt;&gt;"",E44&lt;&gt;""),D44*E44+IF(ISBLANK(F44),0,F44),"")</f>
        <v/>
      </c>
    </row>
    <row r="45">
      <c r="G45">
        <f>IF(AND(D45&lt;&gt;"",E45&lt;&gt;""),D45*E45+IF(ISBLANK(F45),0,F45),"")</f>
        <v/>
      </c>
    </row>
    <row r="46">
      <c r="G46">
        <f>IF(AND(D46&lt;&gt;"",E46&lt;&gt;""),D46*E46+IF(ISBLANK(F46),0,F46),"")</f>
        <v/>
      </c>
    </row>
    <row r="47">
      <c r="G47">
        <f>IF(AND(D47&lt;&gt;"",E47&lt;&gt;""),D47*E47+IF(ISBLANK(F47),0,F47),"")</f>
        <v/>
      </c>
    </row>
    <row r="48">
      <c r="G48">
        <f>IF(AND(D48&lt;&gt;"",E48&lt;&gt;""),D48*E48+IF(ISBLANK(F48),0,F48),"")</f>
        <v/>
      </c>
    </row>
    <row r="49">
      <c r="G49">
        <f>IF(AND(D49&lt;&gt;"",E49&lt;&gt;""),D49*E49+IF(ISBLANK(F49),0,F49),"")</f>
        <v/>
      </c>
    </row>
    <row r="50">
      <c r="G50">
        <f>IF(AND(D50&lt;&gt;"",E50&lt;&gt;""),D50*E50+IF(ISBLANK(F50),0,F50),"")</f>
        <v/>
      </c>
    </row>
    <row r="51">
      <c r="G51">
        <f>IF(AND(D51&lt;&gt;"",E51&lt;&gt;""),D51*E51+IF(ISBLANK(F51),0,F51),"")</f>
        <v/>
      </c>
    </row>
    <row r="52">
      <c r="G52">
        <f>IF(AND(D52&lt;&gt;"",E52&lt;&gt;""),D52*E52+IF(ISBLANK(F52),0,F52),"")</f>
        <v/>
      </c>
    </row>
    <row r="53">
      <c r="G53">
        <f>IF(AND(D53&lt;&gt;"",E53&lt;&gt;""),D53*E53+IF(ISBLANK(F53),0,F53),"")</f>
        <v/>
      </c>
    </row>
    <row r="54">
      <c r="G54">
        <f>IF(AND(D54&lt;&gt;"",E54&lt;&gt;""),D54*E54+IF(ISBLANK(F54),0,F54),"")</f>
        <v/>
      </c>
    </row>
    <row r="55">
      <c r="G55">
        <f>IF(AND(D55&lt;&gt;"",E55&lt;&gt;""),D55*E55+IF(ISBLANK(F55),0,F55),"")</f>
        <v/>
      </c>
    </row>
    <row r="56">
      <c r="G56">
        <f>IF(AND(D56&lt;&gt;"",E56&lt;&gt;""),D56*E56+IF(ISBLANK(F56),0,F56),"")</f>
        <v/>
      </c>
    </row>
    <row r="57">
      <c r="G57">
        <f>IF(AND(D57&lt;&gt;"",E57&lt;&gt;""),D57*E57+IF(ISBLANK(F57),0,F57),"")</f>
        <v/>
      </c>
    </row>
    <row r="58">
      <c r="G58">
        <f>IF(AND(D58&lt;&gt;"",E58&lt;&gt;""),D58*E58+IF(ISBLANK(F58),0,F58),"")</f>
        <v/>
      </c>
    </row>
    <row r="59">
      <c r="G59">
        <f>IF(AND(D59&lt;&gt;"",E59&lt;&gt;""),D59*E59+IF(ISBLANK(F59),0,F59),"")</f>
        <v/>
      </c>
    </row>
    <row r="60">
      <c r="G60">
        <f>IF(AND(D60&lt;&gt;"",E60&lt;&gt;""),D60*E60+IF(ISBLANK(F60),0,F60),"")</f>
        <v/>
      </c>
    </row>
    <row r="61">
      <c r="G61">
        <f>IF(AND(D61&lt;&gt;"",E61&lt;&gt;""),D61*E61+IF(ISBLANK(F61),0,F61),"")</f>
        <v/>
      </c>
    </row>
    <row r="62">
      <c r="G62">
        <f>IF(AND(D62&lt;&gt;"",E62&lt;&gt;""),D62*E62+IF(ISBLANK(F62),0,F62),"")</f>
        <v/>
      </c>
    </row>
    <row r="63">
      <c r="G63">
        <f>IF(AND(D63&lt;&gt;"",E63&lt;&gt;""),D63*E63+IF(ISBLANK(F63),0,F63),"")</f>
        <v/>
      </c>
    </row>
    <row r="64">
      <c r="G64">
        <f>IF(AND(D64&lt;&gt;"",E64&lt;&gt;""),D64*E64+IF(ISBLANK(F64),0,F64),"")</f>
        <v/>
      </c>
    </row>
    <row r="65">
      <c r="G65">
        <f>IF(AND(D65&lt;&gt;"",E65&lt;&gt;""),D65*E65+IF(ISBLANK(F65),0,F65),"")</f>
        <v/>
      </c>
    </row>
    <row r="66">
      <c r="G66">
        <f>IF(AND(D66&lt;&gt;"",E66&lt;&gt;""),D66*E66+IF(ISBLANK(F66),0,F66),"")</f>
        <v/>
      </c>
    </row>
    <row r="67">
      <c r="G67">
        <f>IF(AND(D67&lt;&gt;"",E67&lt;&gt;""),D67*E67+IF(ISBLANK(F67),0,F67),"")</f>
        <v/>
      </c>
    </row>
    <row r="68">
      <c r="G68">
        <f>IF(AND(D68&lt;&gt;"",E68&lt;&gt;""),D68*E68+IF(ISBLANK(F68),0,F68),"")</f>
        <v/>
      </c>
    </row>
    <row r="69">
      <c r="G69">
        <f>IF(AND(D69&lt;&gt;"",E69&lt;&gt;""),D69*E69+IF(ISBLANK(F69),0,F69),"")</f>
        <v/>
      </c>
    </row>
    <row r="70">
      <c r="G70">
        <f>IF(AND(D70&lt;&gt;"",E70&lt;&gt;""),D70*E70+IF(ISBLANK(F70),0,F70),"")</f>
        <v/>
      </c>
    </row>
    <row r="71">
      <c r="G71">
        <f>IF(AND(D71&lt;&gt;"",E71&lt;&gt;""),D71*E71+IF(ISBLANK(F71),0,F71),"")</f>
        <v/>
      </c>
    </row>
    <row r="72">
      <c r="G72">
        <f>IF(AND(D72&lt;&gt;"",E72&lt;&gt;""),D72*E72+IF(ISBLANK(F72),0,F72),"")</f>
        <v/>
      </c>
    </row>
    <row r="73">
      <c r="G73">
        <f>IF(AND(D73&lt;&gt;"",E73&lt;&gt;""),D73*E73+IF(ISBLANK(F73),0,F73),"")</f>
        <v/>
      </c>
    </row>
    <row r="74">
      <c r="G74">
        <f>IF(AND(D74&lt;&gt;"",E74&lt;&gt;""),D74*E74+IF(ISBLANK(F74),0,F74),"")</f>
        <v/>
      </c>
    </row>
    <row r="75">
      <c r="G75">
        <f>IF(AND(D75&lt;&gt;"",E75&lt;&gt;""),D75*E75+IF(ISBLANK(F75),0,F75),"")</f>
        <v/>
      </c>
    </row>
    <row r="76">
      <c r="G76">
        <f>IF(AND(D76&lt;&gt;"",E76&lt;&gt;""),D76*E76+IF(ISBLANK(F76),0,F76),"")</f>
        <v/>
      </c>
    </row>
    <row r="77">
      <c r="G77">
        <f>IF(AND(D77&lt;&gt;"",E77&lt;&gt;""),D77*E77+IF(ISBLANK(F77),0,F77),"")</f>
        <v/>
      </c>
    </row>
    <row r="78">
      <c r="G78">
        <f>IF(AND(D78&lt;&gt;"",E78&lt;&gt;""),D78*E78+IF(ISBLANK(F78),0,F78),"")</f>
        <v/>
      </c>
    </row>
    <row r="79">
      <c r="G79">
        <f>IF(AND(D79&lt;&gt;"",E79&lt;&gt;""),D79*E79+IF(ISBLANK(F79),0,F79),"")</f>
        <v/>
      </c>
    </row>
    <row r="80">
      <c r="G80">
        <f>IF(AND(D80&lt;&gt;"",E80&lt;&gt;""),D80*E80+IF(ISBLANK(F80),0,F80),"")</f>
        <v/>
      </c>
    </row>
    <row r="81">
      <c r="G81">
        <f>IF(AND(D81&lt;&gt;"",E81&lt;&gt;""),D81*E81+IF(ISBLANK(F81),0,F81),"")</f>
        <v/>
      </c>
    </row>
    <row r="82">
      <c r="G82">
        <f>IF(AND(D82&lt;&gt;"",E82&lt;&gt;""),D82*E82+IF(ISBLANK(F82),0,F82),"")</f>
        <v/>
      </c>
    </row>
    <row r="83">
      <c r="G83">
        <f>IF(AND(D83&lt;&gt;"",E83&lt;&gt;""),D83*E83+IF(ISBLANK(F83),0,F83),"")</f>
        <v/>
      </c>
    </row>
    <row r="84">
      <c r="G84">
        <f>IF(AND(D84&lt;&gt;"",E84&lt;&gt;""),D84*E84+IF(ISBLANK(F84),0,F84),"")</f>
        <v/>
      </c>
    </row>
    <row r="85">
      <c r="G85">
        <f>IF(AND(D85&lt;&gt;"",E85&lt;&gt;""),D85*E85+IF(ISBLANK(F85),0,F85),"")</f>
        <v/>
      </c>
    </row>
    <row r="86">
      <c r="G86">
        <f>IF(AND(D86&lt;&gt;"",E86&lt;&gt;""),D86*E86+IF(ISBLANK(F86),0,F86),"")</f>
        <v/>
      </c>
    </row>
    <row r="87">
      <c r="G87">
        <f>IF(AND(D87&lt;&gt;"",E87&lt;&gt;""),D87*E87+IF(ISBLANK(F87),0,F87),"")</f>
        <v/>
      </c>
    </row>
    <row r="88">
      <c r="G88">
        <f>IF(AND(D88&lt;&gt;"",E88&lt;&gt;""),D88*E88+IF(ISBLANK(F88),0,F88),"")</f>
        <v/>
      </c>
    </row>
    <row r="89">
      <c r="G89">
        <f>IF(AND(D89&lt;&gt;"",E89&lt;&gt;""),D89*E89+IF(ISBLANK(F89),0,F89),"")</f>
        <v/>
      </c>
    </row>
    <row r="90">
      <c r="G90">
        <f>IF(AND(D90&lt;&gt;"",E90&lt;&gt;""),D90*E90+IF(ISBLANK(F90),0,F90),"")</f>
        <v/>
      </c>
    </row>
    <row r="91">
      <c r="G91">
        <f>IF(AND(D91&lt;&gt;"",E91&lt;&gt;""),D91*E91+IF(ISBLANK(F91),0,F91),"")</f>
        <v/>
      </c>
    </row>
    <row r="92">
      <c r="G92">
        <f>IF(AND(D92&lt;&gt;"",E92&lt;&gt;""),D92*E92+IF(ISBLANK(F92),0,F92),"")</f>
        <v/>
      </c>
    </row>
    <row r="93">
      <c r="G93">
        <f>IF(AND(D93&lt;&gt;"",E93&lt;&gt;""),D93*E93+IF(ISBLANK(F93),0,F93),"")</f>
        <v/>
      </c>
    </row>
    <row r="94">
      <c r="G94">
        <f>IF(AND(D94&lt;&gt;"",E94&lt;&gt;""),D94*E94+IF(ISBLANK(F94),0,F94),"")</f>
        <v/>
      </c>
    </row>
    <row r="95">
      <c r="G95">
        <f>IF(AND(D95&lt;&gt;"",E95&lt;&gt;""),D95*E95+IF(ISBLANK(F95),0,F95),"")</f>
        <v/>
      </c>
    </row>
    <row r="96">
      <c r="G96">
        <f>IF(AND(D96&lt;&gt;"",E96&lt;&gt;""),D96*E96+IF(ISBLANK(F96),0,F96),"")</f>
        <v/>
      </c>
    </row>
    <row r="97">
      <c r="G97">
        <f>IF(AND(D97&lt;&gt;"",E97&lt;&gt;""),D97*E97+IF(ISBLANK(F97),0,F97),"")</f>
        <v/>
      </c>
    </row>
    <row r="98">
      <c r="G98">
        <f>IF(AND(D98&lt;&gt;"",E98&lt;&gt;""),D98*E98+IF(ISBLANK(F98),0,F98),"")</f>
        <v/>
      </c>
    </row>
    <row r="99">
      <c r="G99">
        <f>IF(AND(D99&lt;&gt;"",E99&lt;&gt;""),D99*E99+IF(ISBLANK(F99),0,F99),"")</f>
        <v/>
      </c>
    </row>
    <row r="100">
      <c r="G100">
        <f>IF(AND(D100&lt;&gt;"",E100&lt;&gt;""),D100*E100+IF(ISBLANK(F100),0,F100),"")</f>
        <v/>
      </c>
    </row>
    <row r="101">
      <c r="G101">
        <f>IF(AND(D101&lt;&gt;"",E101&lt;&gt;""),D101*E101+IF(ISBLANK(F101),0,F101),"")</f>
        <v/>
      </c>
    </row>
    <row r="102">
      <c r="G102">
        <f>IF(AND(D102&lt;&gt;"",E102&lt;&gt;""),D102*E102+IF(ISBLANK(F102),0,F102),"")</f>
        <v/>
      </c>
    </row>
    <row r="103">
      <c r="G103">
        <f>IF(AND(D103&lt;&gt;"",E103&lt;&gt;""),D103*E103+IF(ISBLANK(F103),0,F103),"")</f>
        <v/>
      </c>
    </row>
    <row r="104">
      <c r="G104">
        <f>IF(AND(D104&lt;&gt;"",E104&lt;&gt;""),D104*E104+IF(ISBLANK(F104),0,F104),"")</f>
        <v/>
      </c>
    </row>
    <row r="105">
      <c r="G105">
        <f>IF(AND(D105&lt;&gt;"",E105&lt;&gt;""),D105*E105+IF(ISBLANK(F105),0,F105),"")</f>
        <v/>
      </c>
    </row>
    <row r="106">
      <c r="G106">
        <f>IF(AND(D106&lt;&gt;"",E106&lt;&gt;""),D106*E106+IF(ISBLANK(F106),0,F106),"")</f>
        <v/>
      </c>
    </row>
    <row r="107">
      <c r="G107">
        <f>IF(AND(D107&lt;&gt;"",E107&lt;&gt;""),D107*E107+IF(ISBLANK(F107),0,F107),"")</f>
        <v/>
      </c>
    </row>
    <row r="108">
      <c r="G108">
        <f>IF(AND(D108&lt;&gt;"",E108&lt;&gt;""),D108*E108+IF(ISBLANK(F108),0,F108),"")</f>
        <v/>
      </c>
    </row>
    <row r="109">
      <c r="G109">
        <f>IF(AND(D109&lt;&gt;"",E109&lt;&gt;""),D109*E109+IF(ISBLANK(F109),0,F109),"")</f>
        <v/>
      </c>
    </row>
    <row r="110">
      <c r="G110">
        <f>IF(AND(D110&lt;&gt;"",E110&lt;&gt;""),D110*E110+IF(ISBLANK(F110),0,F110),"")</f>
        <v/>
      </c>
    </row>
    <row r="111">
      <c r="G111">
        <f>IF(AND(D111&lt;&gt;"",E111&lt;&gt;""),D111*E111+IF(ISBLANK(F111),0,F111),"")</f>
        <v/>
      </c>
    </row>
    <row r="112">
      <c r="G112">
        <f>IF(AND(D112&lt;&gt;"",E112&lt;&gt;""),D112*E112+IF(ISBLANK(F112),0,F112),"")</f>
        <v/>
      </c>
    </row>
    <row r="113">
      <c r="G113">
        <f>IF(AND(D113&lt;&gt;"",E113&lt;&gt;""),D113*E113+IF(ISBLANK(F113),0,F113),"")</f>
        <v/>
      </c>
    </row>
    <row r="114">
      <c r="G114">
        <f>IF(AND(D114&lt;&gt;"",E114&lt;&gt;""),D114*E114+IF(ISBLANK(F114),0,F114),"")</f>
        <v/>
      </c>
    </row>
    <row r="115">
      <c r="G115">
        <f>IF(AND(D115&lt;&gt;"",E115&lt;&gt;""),D115*E115+IF(ISBLANK(F115),0,F115),"")</f>
        <v/>
      </c>
    </row>
    <row r="116">
      <c r="G116">
        <f>IF(AND(D116&lt;&gt;"",E116&lt;&gt;""),D116*E116+IF(ISBLANK(F116),0,F116),"")</f>
        <v/>
      </c>
    </row>
    <row r="117">
      <c r="G117">
        <f>IF(AND(D117&lt;&gt;"",E117&lt;&gt;""),D117*E117+IF(ISBLANK(F117),0,F117),"")</f>
        <v/>
      </c>
    </row>
    <row r="118">
      <c r="G118">
        <f>IF(AND(D118&lt;&gt;"",E118&lt;&gt;""),D118*E118+IF(ISBLANK(F118),0,F118),"")</f>
        <v/>
      </c>
    </row>
    <row r="119">
      <c r="G119">
        <f>IF(AND(D119&lt;&gt;"",E119&lt;&gt;""),D119*E119+IF(ISBLANK(F119),0,F119),"")</f>
        <v/>
      </c>
    </row>
    <row r="120">
      <c r="G120">
        <f>IF(AND(D120&lt;&gt;"",E120&lt;&gt;""),D120*E120+IF(ISBLANK(F120),0,F120),"")</f>
        <v/>
      </c>
    </row>
    <row r="121">
      <c r="G121">
        <f>IF(AND(D121&lt;&gt;"",E121&lt;&gt;""),D121*E121+IF(ISBLANK(F121),0,F121),"")</f>
        <v/>
      </c>
    </row>
    <row r="122">
      <c r="G122">
        <f>IF(AND(D122&lt;&gt;"",E122&lt;&gt;""),D122*E122+IF(ISBLANK(F122),0,F122),"")</f>
        <v/>
      </c>
    </row>
    <row r="123">
      <c r="G123">
        <f>IF(AND(D123&lt;&gt;"",E123&lt;&gt;""),D123*E123+IF(ISBLANK(F123),0,F123),"")</f>
        <v/>
      </c>
    </row>
    <row r="124">
      <c r="G124">
        <f>IF(AND(D124&lt;&gt;"",E124&lt;&gt;""),D124*E124+IF(ISBLANK(F124),0,F124),"")</f>
        <v/>
      </c>
    </row>
    <row r="125">
      <c r="G125">
        <f>IF(AND(D125&lt;&gt;"",E125&lt;&gt;""),D125*E125+IF(ISBLANK(F125),0,F125),"")</f>
        <v/>
      </c>
    </row>
    <row r="126">
      <c r="G126">
        <f>IF(AND(D126&lt;&gt;"",E126&lt;&gt;""),D126*E126+IF(ISBLANK(F126),0,F126),"")</f>
        <v/>
      </c>
    </row>
    <row r="127">
      <c r="G127">
        <f>IF(AND(D127&lt;&gt;"",E127&lt;&gt;""),D127*E127+IF(ISBLANK(F127),0,F127),"")</f>
        <v/>
      </c>
    </row>
    <row r="128">
      <c r="G128">
        <f>IF(AND(D128&lt;&gt;"",E128&lt;&gt;""),D128*E128+IF(ISBLANK(F128),0,F128),"")</f>
        <v/>
      </c>
    </row>
    <row r="129">
      <c r="G129">
        <f>IF(AND(D129&lt;&gt;"",E129&lt;&gt;""),D129*E129+IF(ISBLANK(F129),0,F129),"")</f>
        <v/>
      </c>
    </row>
    <row r="130">
      <c r="G130">
        <f>IF(AND(D130&lt;&gt;"",E130&lt;&gt;""),D130*E130+IF(ISBLANK(F130),0,F130),"")</f>
        <v/>
      </c>
    </row>
    <row r="131">
      <c r="G131">
        <f>IF(AND(D131&lt;&gt;"",E131&lt;&gt;""),D131*E131+IF(ISBLANK(F131),0,F131),"")</f>
        <v/>
      </c>
    </row>
    <row r="132">
      <c r="G132">
        <f>IF(AND(D132&lt;&gt;"",E132&lt;&gt;""),D132*E132+IF(ISBLANK(F132),0,F132),"")</f>
        <v/>
      </c>
    </row>
    <row r="133">
      <c r="G133">
        <f>IF(AND(D133&lt;&gt;"",E133&lt;&gt;""),D133*E133+IF(ISBLANK(F133),0,F133),"")</f>
        <v/>
      </c>
    </row>
    <row r="134">
      <c r="G134">
        <f>IF(AND(D134&lt;&gt;"",E134&lt;&gt;""),D134*E134+IF(ISBLANK(F134),0,F134),"")</f>
        <v/>
      </c>
    </row>
    <row r="135">
      <c r="G135">
        <f>IF(AND(D135&lt;&gt;"",E135&lt;&gt;""),D135*E135+IF(ISBLANK(F135),0,F135),"")</f>
        <v/>
      </c>
    </row>
    <row r="136">
      <c r="G136">
        <f>IF(AND(D136&lt;&gt;"",E136&lt;&gt;""),D136*E136+IF(ISBLANK(F136),0,F136),"")</f>
        <v/>
      </c>
    </row>
    <row r="137">
      <c r="G137">
        <f>IF(AND(D137&lt;&gt;"",E137&lt;&gt;""),D137*E137+IF(ISBLANK(F137),0,F137),"")</f>
        <v/>
      </c>
    </row>
    <row r="138">
      <c r="G138">
        <f>IF(AND(D138&lt;&gt;"",E138&lt;&gt;""),D138*E138+IF(ISBLANK(F138),0,F138),"")</f>
        <v/>
      </c>
    </row>
    <row r="139">
      <c r="G139">
        <f>IF(AND(D139&lt;&gt;"",E139&lt;&gt;""),D139*E139+IF(ISBLANK(F139),0,F139),"")</f>
        <v/>
      </c>
    </row>
    <row r="140">
      <c r="G140">
        <f>IF(AND(D140&lt;&gt;"",E140&lt;&gt;""),D140*E140+IF(ISBLANK(F140),0,F140),"")</f>
        <v/>
      </c>
    </row>
    <row r="141">
      <c r="G141">
        <f>IF(AND(D141&lt;&gt;"",E141&lt;&gt;""),D141*E141+IF(ISBLANK(F141),0,F141),"")</f>
        <v/>
      </c>
    </row>
    <row r="142">
      <c r="G142">
        <f>IF(AND(D142&lt;&gt;"",E142&lt;&gt;""),D142*E142+IF(ISBLANK(F142),0,F142),"")</f>
        <v/>
      </c>
    </row>
    <row r="143">
      <c r="G143">
        <f>IF(AND(D143&lt;&gt;"",E143&lt;&gt;""),D143*E143+IF(ISBLANK(F143),0,F143),"")</f>
        <v/>
      </c>
    </row>
    <row r="144">
      <c r="G144">
        <f>IF(AND(D144&lt;&gt;"",E144&lt;&gt;""),D144*E144+IF(ISBLANK(F144),0,F144),"")</f>
        <v/>
      </c>
    </row>
    <row r="145">
      <c r="G145">
        <f>IF(AND(D145&lt;&gt;"",E145&lt;&gt;""),D145*E145+IF(ISBLANK(F145),0,F145),"")</f>
        <v/>
      </c>
    </row>
    <row r="146">
      <c r="G146">
        <f>IF(AND(D146&lt;&gt;"",E146&lt;&gt;""),D146*E146+IF(ISBLANK(F146),0,F146),"")</f>
        <v/>
      </c>
    </row>
    <row r="147">
      <c r="G147">
        <f>IF(AND(D147&lt;&gt;"",E147&lt;&gt;""),D147*E147+IF(ISBLANK(F147),0,F147),"")</f>
        <v/>
      </c>
    </row>
    <row r="148">
      <c r="G148">
        <f>IF(AND(D148&lt;&gt;"",E148&lt;&gt;""),D148*E148+IF(ISBLANK(F148),0,F148),"")</f>
        <v/>
      </c>
    </row>
    <row r="149">
      <c r="G149">
        <f>IF(AND(D149&lt;&gt;"",E149&lt;&gt;""),D149*E149+IF(ISBLANK(F149),0,F149),"")</f>
        <v/>
      </c>
    </row>
    <row r="150">
      <c r="G150">
        <f>IF(AND(D150&lt;&gt;"",E150&lt;&gt;""),D150*E150+IF(ISBLANK(F150),0,F150),"")</f>
        <v/>
      </c>
    </row>
    <row r="151">
      <c r="G151">
        <f>IF(AND(D151&lt;&gt;"",E151&lt;&gt;""),D151*E151+IF(ISBLANK(F151),0,F151),"")</f>
        <v/>
      </c>
    </row>
    <row r="152">
      <c r="G152">
        <f>IF(AND(D152&lt;&gt;"",E152&lt;&gt;""),D152*E152+IF(ISBLANK(F152),0,F152),"")</f>
        <v/>
      </c>
    </row>
    <row r="153">
      <c r="G153">
        <f>IF(AND(D153&lt;&gt;"",E153&lt;&gt;""),D153*E153+IF(ISBLANK(F153),0,F153),"")</f>
        <v/>
      </c>
    </row>
    <row r="154">
      <c r="G154">
        <f>IF(AND(D154&lt;&gt;"",E154&lt;&gt;""),D154*E154+IF(ISBLANK(F154),0,F154),"")</f>
        <v/>
      </c>
    </row>
    <row r="155">
      <c r="G155">
        <f>IF(AND(D155&lt;&gt;"",E155&lt;&gt;""),D155*E155+IF(ISBLANK(F155),0,F155),"")</f>
        <v/>
      </c>
    </row>
    <row r="156">
      <c r="G156">
        <f>IF(AND(D156&lt;&gt;"",E156&lt;&gt;""),D156*E156+IF(ISBLANK(F156),0,F156),"")</f>
        <v/>
      </c>
    </row>
    <row r="157">
      <c r="G157">
        <f>IF(AND(D157&lt;&gt;"",E157&lt;&gt;""),D157*E157+IF(ISBLANK(F157),0,F157),"")</f>
        <v/>
      </c>
    </row>
    <row r="158">
      <c r="G158">
        <f>IF(AND(D158&lt;&gt;"",E158&lt;&gt;""),D158*E158+IF(ISBLANK(F158),0,F158),"")</f>
        <v/>
      </c>
    </row>
    <row r="159">
      <c r="G159">
        <f>IF(AND(D159&lt;&gt;"",E159&lt;&gt;""),D159*E159+IF(ISBLANK(F159),0,F159),"")</f>
        <v/>
      </c>
    </row>
    <row r="160">
      <c r="G160">
        <f>IF(AND(D160&lt;&gt;"",E160&lt;&gt;""),D160*E160+IF(ISBLANK(F160),0,F160),"")</f>
        <v/>
      </c>
    </row>
    <row r="161">
      <c r="G161">
        <f>IF(AND(D161&lt;&gt;"",E161&lt;&gt;""),D161*E161+IF(ISBLANK(F161),0,F161),"")</f>
        <v/>
      </c>
    </row>
    <row r="162">
      <c r="G162">
        <f>IF(AND(D162&lt;&gt;"",E162&lt;&gt;""),D162*E162+IF(ISBLANK(F162),0,F162),"")</f>
        <v/>
      </c>
    </row>
    <row r="163">
      <c r="G163">
        <f>IF(AND(D163&lt;&gt;"",E163&lt;&gt;""),D163*E163+IF(ISBLANK(F163),0,F163),"")</f>
        <v/>
      </c>
    </row>
    <row r="164">
      <c r="G164">
        <f>IF(AND(D164&lt;&gt;"",E164&lt;&gt;""),D164*E164+IF(ISBLANK(F164),0,F164),"")</f>
        <v/>
      </c>
    </row>
    <row r="165">
      <c r="G165">
        <f>IF(AND(D165&lt;&gt;"",E165&lt;&gt;""),D165*E165+IF(ISBLANK(F165),0,F165),"")</f>
        <v/>
      </c>
    </row>
    <row r="166">
      <c r="G166">
        <f>IF(AND(D166&lt;&gt;"",E166&lt;&gt;""),D166*E166+IF(ISBLANK(F166),0,F166),"")</f>
        <v/>
      </c>
    </row>
    <row r="167">
      <c r="G167">
        <f>IF(AND(D167&lt;&gt;"",E167&lt;&gt;""),D167*E167+IF(ISBLANK(F167),0,F167),"")</f>
        <v/>
      </c>
    </row>
    <row r="168">
      <c r="G168">
        <f>IF(AND(D168&lt;&gt;"",E168&lt;&gt;""),D168*E168+IF(ISBLANK(F168),0,F168),"")</f>
        <v/>
      </c>
    </row>
    <row r="169">
      <c r="G169">
        <f>IF(AND(D169&lt;&gt;"",E169&lt;&gt;""),D169*E169+IF(ISBLANK(F169),0,F169),"")</f>
        <v/>
      </c>
    </row>
    <row r="170">
      <c r="G170">
        <f>IF(AND(D170&lt;&gt;"",E170&lt;&gt;""),D170*E170+IF(ISBLANK(F170),0,F170),"")</f>
        <v/>
      </c>
    </row>
    <row r="171">
      <c r="G171">
        <f>IF(AND(D171&lt;&gt;"",E171&lt;&gt;""),D171*E171+IF(ISBLANK(F171),0,F171),"")</f>
        <v/>
      </c>
    </row>
    <row r="172">
      <c r="G172">
        <f>IF(AND(D172&lt;&gt;"",E172&lt;&gt;""),D172*E172+IF(ISBLANK(F172),0,F172),"")</f>
        <v/>
      </c>
    </row>
    <row r="173">
      <c r="G173">
        <f>IF(AND(D173&lt;&gt;"",E173&lt;&gt;""),D173*E173+IF(ISBLANK(F173),0,F173),"")</f>
        <v/>
      </c>
    </row>
    <row r="174">
      <c r="G174">
        <f>IF(AND(D174&lt;&gt;"",E174&lt;&gt;""),D174*E174+IF(ISBLANK(F174),0,F174),"")</f>
        <v/>
      </c>
    </row>
    <row r="175">
      <c r="G175">
        <f>IF(AND(D175&lt;&gt;"",E175&lt;&gt;""),D175*E175+IF(ISBLANK(F175),0,F175),"")</f>
        <v/>
      </c>
    </row>
    <row r="176">
      <c r="G176">
        <f>IF(AND(D176&lt;&gt;"",E176&lt;&gt;""),D176*E176+IF(ISBLANK(F176),0,F176),"")</f>
        <v/>
      </c>
    </row>
    <row r="177">
      <c r="G177">
        <f>IF(AND(D177&lt;&gt;"",E177&lt;&gt;""),D177*E177+IF(ISBLANK(F177),0,F177),"")</f>
        <v/>
      </c>
    </row>
    <row r="178">
      <c r="G178">
        <f>IF(AND(D178&lt;&gt;"",E178&lt;&gt;""),D178*E178+IF(ISBLANK(F178),0,F178),"")</f>
        <v/>
      </c>
    </row>
    <row r="179">
      <c r="G179">
        <f>IF(AND(D179&lt;&gt;"",E179&lt;&gt;""),D179*E179+IF(ISBLANK(F179),0,F179),"")</f>
        <v/>
      </c>
    </row>
    <row r="180">
      <c r="G180">
        <f>IF(AND(D180&lt;&gt;"",E180&lt;&gt;""),D180*E180+IF(ISBLANK(F180),0,F180),"")</f>
        <v/>
      </c>
    </row>
    <row r="181">
      <c r="G181">
        <f>IF(AND(D181&lt;&gt;"",E181&lt;&gt;""),D181*E181+IF(ISBLANK(F181),0,F181),"")</f>
        <v/>
      </c>
    </row>
    <row r="182">
      <c r="G182">
        <f>IF(AND(D182&lt;&gt;"",E182&lt;&gt;""),D182*E182+IF(ISBLANK(F182),0,F182),"")</f>
        <v/>
      </c>
    </row>
    <row r="183">
      <c r="G183">
        <f>IF(AND(D183&lt;&gt;"",E183&lt;&gt;""),D183*E183+IF(ISBLANK(F183),0,F183),"")</f>
        <v/>
      </c>
    </row>
    <row r="184">
      <c r="G184">
        <f>IF(AND(D184&lt;&gt;"",E184&lt;&gt;""),D184*E184+IF(ISBLANK(F184),0,F184),"")</f>
        <v/>
      </c>
    </row>
    <row r="185">
      <c r="G185">
        <f>IF(AND(D185&lt;&gt;"",E185&lt;&gt;""),D185*E185+IF(ISBLANK(F185),0,F185),"")</f>
        <v/>
      </c>
    </row>
    <row r="186">
      <c r="G186">
        <f>IF(AND(D186&lt;&gt;"",E186&lt;&gt;""),D186*E186+IF(ISBLANK(F186),0,F186),"")</f>
        <v/>
      </c>
    </row>
    <row r="187">
      <c r="G187">
        <f>IF(AND(D187&lt;&gt;"",E187&lt;&gt;""),D187*E187+IF(ISBLANK(F187),0,F187),"")</f>
        <v/>
      </c>
    </row>
    <row r="188">
      <c r="G188">
        <f>IF(AND(D188&lt;&gt;"",E188&lt;&gt;""),D188*E188+IF(ISBLANK(F188),0,F188),"")</f>
        <v/>
      </c>
    </row>
    <row r="189">
      <c r="G189">
        <f>IF(AND(D189&lt;&gt;"",E189&lt;&gt;""),D189*E189+IF(ISBLANK(F189),0,F189),"")</f>
        <v/>
      </c>
    </row>
    <row r="190">
      <c r="G190">
        <f>IF(AND(D190&lt;&gt;"",E190&lt;&gt;""),D190*E190+IF(ISBLANK(F190),0,F190),"")</f>
        <v/>
      </c>
    </row>
    <row r="191">
      <c r="G191">
        <f>IF(AND(D191&lt;&gt;"",E191&lt;&gt;""),D191*E191+IF(ISBLANK(F191),0,F191),"")</f>
        <v/>
      </c>
    </row>
    <row r="192">
      <c r="G192">
        <f>IF(AND(D192&lt;&gt;"",E192&lt;&gt;""),D192*E192+IF(ISBLANK(F192),0,F192),"")</f>
        <v/>
      </c>
    </row>
    <row r="193">
      <c r="G193">
        <f>IF(AND(D193&lt;&gt;"",E193&lt;&gt;""),D193*E193+IF(ISBLANK(F193),0,F193),"")</f>
        <v/>
      </c>
    </row>
    <row r="194">
      <c r="G194">
        <f>IF(AND(D194&lt;&gt;"",E194&lt;&gt;""),D194*E194+IF(ISBLANK(F194),0,F194),"")</f>
        <v/>
      </c>
    </row>
    <row r="195">
      <c r="G195">
        <f>IF(AND(D195&lt;&gt;"",E195&lt;&gt;""),D195*E195+IF(ISBLANK(F195),0,F195),"")</f>
        <v/>
      </c>
    </row>
    <row r="196">
      <c r="G196">
        <f>IF(AND(D196&lt;&gt;"",E196&lt;&gt;""),D196*E196+IF(ISBLANK(F196),0,F196),"")</f>
        <v/>
      </c>
    </row>
    <row r="197">
      <c r="G197">
        <f>IF(AND(D197&lt;&gt;"",E197&lt;&gt;""),D197*E197+IF(ISBLANK(F197),0,F197),"")</f>
        <v/>
      </c>
    </row>
    <row r="198">
      <c r="G198">
        <f>IF(AND(D198&lt;&gt;"",E198&lt;&gt;""),D198*E198+IF(ISBLANK(F198),0,F198),"")</f>
        <v/>
      </c>
    </row>
    <row r="199">
      <c r="G199">
        <f>IF(AND(D199&lt;&gt;"",E199&lt;&gt;""),D199*E199+IF(ISBLANK(F199),0,F199),"")</f>
        <v/>
      </c>
    </row>
    <row r="200">
      <c r="G200">
        <f>IF(AND(D200&lt;&gt;"",E200&lt;&gt;""),D200*E200+IF(ISBLANK(F200),0,F200),"")</f>
        <v/>
      </c>
    </row>
    <row r="201">
      <c r="G201">
        <f>IF(AND(D201&lt;&gt;"",E201&lt;&gt;""),D201*E201+IF(ISBLANK(F201),0,F201),"")</f>
        <v/>
      </c>
    </row>
    <row r="202">
      <c r="G202">
        <f>IF(AND(D202&lt;&gt;"",E202&lt;&gt;""),D202*E202+IF(ISBLANK(F202),0,F202),"")</f>
        <v/>
      </c>
    </row>
    <row r="203">
      <c r="G203">
        <f>IF(AND(D203&lt;&gt;"",E203&lt;&gt;""),D203*E203+IF(ISBLANK(F203),0,F203),"")</f>
        <v/>
      </c>
    </row>
    <row r="204">
      <c r="G204">
        <f>IF(AND(D204&lt;&gt;"",E204&lt;&gt;""),D204*E204+IF(ISBLANK(F204),0,F204),"")</f>
        <v/>
      </c>
    </row>
    <row r="205">
      <c r="G205">
        <f>IF(AND(D205&lt;&gt;"",E205&lt;&gt;""),D205*E205+IF(ISBLANK(F205),0,F205),"")</f>
        <v/>
      </c>
    </row>
    <row r="206">
      <c r="G206">
        <f>IF(AND(D206&lt;&gt;"",E206&lt;&gt;""),D206*E206+IF(ISBLANK(F206),0,F206),"")</f>
        <v/>
      </c>
    </row>
    <row r="207">
      <c r="G207">
        <f>IF(AND(D207&lt;&gt;"",E207&lt;&gt;""),D207*E207+IF(ISBLANK(F207),0,F207),"")</f>
        <v/>
      </c>
    </row>
    <row r="208">
      <c r="G208">
        <f>IF(AND(D208&lt;&gt;"",E208&lt;&gt;""),D208*E208+IF(ISBLANK(F208),0,F208),"")</f>
        <v/>
      </c>
    </row>
    <row r="209">
      <c r="G209">
        <f>IF(AND(D209&lt;&gt;"",E209&lt;&gt;""),D209*E209+IF(ISBLANK(F209),0,F209),"")</f>
        <v/>
      </c>
    </row>
    <row r="210">
      <c r="G210">
        <f>IF(AND(D210&lt;&gt;"",E210&lt;&gt;""),D210*E210+IF(ISBLANK(F210),0,F210),"")</f>
        <v/>
      </c>
    </row>
    <row r="211">
      <c r="G211">
        <f>IF(AND(D211&lt;&gt;"",E211&lt;&gt;""),D211*E211+IF(ISBLANK(F211),0,F211),"")</f>
        <v/>
      </c>
    </row>
    <row r="212">
      <c r="G212">
        <f>IF(AND(D212&lt;&gt;"",E212&lt;&gt;""),D212*E212+IF(ISBLANK(F212),0,F212),"")</f>
        <v/>
      </c>
    </row>
    <row r="213">
      <c r="G213">
        <f>IF(AND(D213&lt;&gt;"",E213&lt;&gt;""),D213*E213+IF(ISBLANK(F213),0,F213),"")</f>
        <v/>
      </c>
    </row>
    <row r="214">
      <c r="G214">
        <f>IF(AND(D214&lt;&gt;"",E214&lt;&gt;""),D214*E214+IF(ISBLANK(F214),0,F214),"")</f>
        <v/>
      </c>
    </row>
    <row r="215">
      <c r="G215">
        <f>IF(AND(D215&lt;&gt;"",E215&lt;&gt;""),D215*E215+IF(ISBLANK(F215),0,F215),"")</f>
        <v/>
      </c>
    </row>
    <row r="216">
      <c r="G216">
        <f>IF(AND(D216&lt;&gt;"",E216&lt;&gt;""),D216*E216+IF(ISBLANK(F216),0,F216),"")</f>
        <v/>
      </c>
    </row>
    <row r="217">
      <c r="G217">
        <f>IF(AND(D217&lt;&gt;"",E217&lt;&gt;""),D217*E217+IF(ISBLANK(F217),0,F217),"")</f>
        <v/>
      </c>
    </row>
    <row r="218">
      <c r="G218">
        <f>IF(AND(D218&lt;&gt;"",E218&lt;&gt;""),D218*E218+IF(ISBLANK(F218),0,F218),"")</f>
        <v/>
      </c>
    </row>
    <row r="219">
      <c r="G219">
        <f>IF(AND(D219&lt;&gt;"",E219&lt;&gt;""),D219*E219+IF(ISBLANK(F219),0,F219),"")</f>
        <v/>
      </c>
    </row>
    <row r="220">
      <c r="G220">
        <f>IF(AND(D220&lt;&gt;"",E220&lt;&gt;""),D220*E220+IF(ISBLANK(F220),0,F220),"")</f>
        <v/>
      </c>
    </row>
    <row r="221">
      <c r="G221">
        <f>IF(AND(D221&lt;&gt;"",E221&lt;&gt;""),D221*E221+IF(ISBLANK(F221),0,F221),"")</f>
        <v/>
      </c>
    </row>
    <row r="222">
      <c r="G222">
        <f>IF(AND(D222&lt;&gt;"",E222&lt;&gt;""),D222*E222+IF(ISBLANK(F222),0,F222),"")</f>
        <v/>
      </c>
    </row>
    <row r="223">
      <c r="G223">
        <f>IF(AND(D223&lt;&gt;"",E223&lt;&gt;""),D223*E223+IF(ISBLANK(F223),0,F223),"")</f>
        <v/>
      </c>
    </row>
    <row r="224">
      <c r="G224">
        <f>IF(AND(D224&lt;&gt;"",E224&lt;&gt;""),D224*E224+IF(ISBLANK(F224),0,F224),"")</f>
        <v/>
      </c>
    </row>
    <row r="225">
      <c r="G225">
        <f>IF(AND(D225&lt;&gt;"",E225&lt;&gt;""),D225*E225+IF(ISBLANK(F225),0,F225),"")</f>
        <v/>
      </c>
    </row>
    <row r="226">
      <c r="G226">
        <f>IF(AND(D226&lt;&gt;"",E226&lt;&gt;""),D226*E226+IF(ISBLANK(F226),0,F226),"")</f>
        <v/>
      </c>
    </row>
    <row r="227">
      <c r="G227">
        <f>IF(AND(D227&lt;&gt;"",E227&lt;&gt;""),D227*E227+IF(ISBLANK(F227),0,F227),"")</f>
        <v/>
      </c>
    </row>
    <row r="228">
      <c r="G228">
        <f>IF(AND(D228&lt;&gt;"",E228&lt;&gt;""),D228*E228+IF(ISBLANK(F228),0,F228),"")</f>
        <v/>
      </c>
    </row>
    <row r="229">
      <c r="G229">
        <f>IF(AND(D229&lt;&gt;"",E229&lt;&gt;""),D229*E229+IF(ISBLANK(F229),0,F229),"")</f>
        <v/>
      </c>
    </row>
    <row r="230">
      <c r="G230">
        <f>IF(AND(D230&lt;&gt;"",E230&lt;&gt;""),D230*E230+IF(ISBLANK(F230),0,F230),"")</f>
        <v/>
      </c>
    </row>
    <row r="231">
      <c r="G231">
        <f>IF(AND(D231&lt;&gt;"",E231&lt;&gt;""),D231*E231+IF(ISBLANK(F231),0,F231),"")</f>
        <v/>
      </c>
    </row>
    <row r="232">
      <c r="G232">
        <f>IF(AND(D232&lt;&gt;"",E232&lt;&gt;""),D232*E232+IF(ISBLANK(F232),0,F232),"")</f>
        <v/>
      </c>
    </row>
    <row r="233">
      <c r="G233">
        <f>IF(AND(D233&lt;&gt;"",E233&lt;&gt;""),D233*E233+IF(ISBLANK(F233),0,F233),"")</f>
        <v/>
      </c>
    </row>
    <row r="234">
      <c r="G234">
        <f>IF(AND(D234&lt;&gt;"",E234&lt;&gt;""),D234*E234+IF(ISBLANK(F234),0,F234),"")</f>
        <v/>
      </c>
    </row>
    <row r="235">
      <c r="G235">
        <f>IF(AND(D235&lt;&gt;"",E235&lt;&gt;""),D235*E235+IF(ISBLANK(F235),0,F235),"")</f>
        <v/>
      </c>
    </row>
    <row r="236">
      <c r="G236">
        <f>IF(AND(D236&lt;&gt;"",E236&lt;&gt;""),D236*E236+IF(ISBLANK(F236),0,F236),"")</f>
        <v/>
      </c>
    </row>
    <row r="237">
      <c r="G237">
        <f>IF(AND(D237&lt;&gt;"",E237&lt;&gt;""),D237*E237+IF(ISBLANK(F237),0,F237),"")</f>
        <v/>
      </c>
    </row>
    <row r="238">
      <c r="G238">
        <f>IF(AND(D238&lt;&gt;"",E238&lt;&gt;""),D238*E238+IF(ISBLANK(F238),0,F238),"")</f>
        <v/>
      </c>
    </row>
    <row r="239">
      <c r="G239">
        <f>IF(AND(D239&lt;&gt;"",E239&lt;&gt;""),D239*E239+IF(ISBLANK(F239),0,F239),"")</f>
        <v/>
      </c>
    </row>
    <row r="240">
      <c r="G240">
        <f>IF(AND(D240&lt;&gt;"",E240&lt;&gt;""),D240*E240+IF(ISBLANK(F240),0,F240),"")</f>
        <v/>
      </c>
    </row>
    <row r="241">
      <c r="G241">
        <f>IF(AND(D241&lt;&gt;"",E241&lt;&gt;""),D241*E241+IF(ISBLANK(F241),0,F241),"")</f>
        <v/>
      </c>
    </row>
    <row r="242">
      <c r="G242">
        <f>IF(AND(D242&lt;&gt;"",E242&lt;&gt;""),D242*E242+IF(ISBLANK(F242),0,F242),"")</f>
        <v/>
      </c>
    </row>
    <row r="243">
      <c r="G243">
        <f>IF(AND(D243&lt;&gt;"",E243&lt;&gt;""),D243*E243+IF(ISBLANK(F243),0,F243),"")</f>
        <v/>
      </c>
    </row>
    <row r="244">
      <c r="G244">
        <f>IF(AND(D244&lt;&gt;"",E244&lt;&gt;""),D244*E244+IF(ISBLANK(F244),0,F244),"")</f>
        <v/>
      </c>
    </row>
    <row r="245">
      <c r="G245">
        <f>IF(AND(D245&lt;&gt;"",E245&lt;&gt;""),D245*E245+IF(ISBLANK(F245),0,F245),"")</f>
        <v/>
      </c>
    </row>
    <row r="246">
      <c r="G246">
        <f>IF(AND(D246&lt;&gt;"",E246&lt;&gt;""),D246*E246+IF(ISBLANK(F246),0,F246),"")</f>
        <v/>
      </c>
    </row>
    <row r="247">
      <c r="G247">
        <f>IF(AND(D247&lt;&gt;"",E247&lt;&gt;""),D247*E247+IF(ISBLANK(F247),0,F247),"")</f>
        <v/>
      </c>
    </row>
    <row r="248">
      <c r="G248">
        <f>IF(AND(D248&lt;&gt;"",E248&lt;&gt;""),D248*E248+IF(ISBLANK(F248),0,F248),"")</f>
        <v/>
      </c>
    </row>
    <row r="249">
      <c r="G249">
        <f>IF(AND(D249&lt;&gt;"",E249&lt;&gt;""),D249*E249+IF(ISBLANK(F249),0,F249),"")</f>
        <v/>
      </c>
    </row>
    <row r="250">
      <c r="G250">
        <f>IF(AND(D250&lt;&gt;"",E250&lt;&gt;""),D250*E250+IF(ISBLANK(F250),0,F250),"")</f>
        <v/>
      </c>
    </row>
    <row r="251">
      <c r="G251">
        <f>IF(AND(D251&lt;&gt;"",E251&lt;&gt;""),D251*E251+IF(ISBLANK(F251),0,F251),"")</f>
        <v/>
      </c>
    </row>
    <row r="252">
      <c r="G252">
        <f>IF(AND(D252&lt;&gt;"",E252&lt;&gt;""),D252*E252+IF(ISBLANK(F252),0,F252),"")</f>
        <v/>
      </c>
    </row>
    <row r="253">
      <c r="G253">
        <f>IF(AND(D253&lt;&gt;"",E253&lt;&gt;""),D253*E253+IF(ISBLANK(F253),0,F253),"")</f>
        <v/>
      </c>
    </row>
    <row r="254">
      <c r="G254">
        <f>IF(AND(D254&lt;&gt;"",E254&lt;&gt;""),D254*E254+IF(ISBLANK(F254),0,F254),"")</f>
        <v/>
      </c>
    </row>
    <row r="255">
      <c r="G255">
        <f>IF(AND(D255&lt;&gt;"",E255&lt;&gt;""),D255*E255+IF(ISBLANK(F255),0,F255),"")</f>
        <v/>
      </c>
    </row>
    <row r="256">
      <c r="G256">
        <f>IF(AND(D256&lt;&gt;"",E256&lt;&gt;""),D256*E256+IF(ISBLANK(F256),0,F256),"")</f>
        <v/>
      </c>
    </row>
    <row r="257">
      <c r="G257">
        <f>IF(AND(D257&lt;&gt;"",E257&lt;&gt;""),D257*E257+IF(ISBLANK(F257),0,F257),"")</f>
        <v/>
      </c>
    </row>
    <row r="258">
      <c r="G258">
        <f>IF(AND(D258&lt;&gt;"",E258&lt;&gt;""),D258*E258+IF(ISBLANK(F258),0,F258),"")</f>
        <v/>
      </c>
    </row>
    <row r="259">
      <c r="G259">
        <f>IF(AND(D259&lt;&gt;"",E259&lt;&gt;""),D259*E259+IF(ISBLANK(F259),0,F259),"")</f>
        <v/>
      </c>
    </row>
    <row r="260">
      <c r="G260">
        <f>IF(AND(D260&lt;&gt;"",E260&lt;&gt;""),D260*E260+IF(ISBLANK(F260),0,F260),"")</f>
        <v/>
      </c>
    </row>
    <row r="261">
      <c r="G261">
        <f>IF(AND(D261&lt;&gt;"",E261&lt;&gt;""),D261*E261+IF(ISBLANK(F261),0,F261),"")</f>
        <v/>
      </c>
    </row>
    <row r="262">
      <c r="G262">
        <f>IF(AND(D262&lt;&gt;"",E262&lt;&gt;""),D262*E262+IF(ISBLANK(F262),0,F262),"")</f>
        <v/>
      </c>
    </row>
    <row r="263">
      <c r="G263">
        <f>IF(AND(D263&lt;&gt;"",E263&lt;&gt;""),D263*E263+IF(ISBLANK(F263),0,F263),"")</f>
        <v/>
      </c>
    </row>
    <row r="264">
      <c r="G264">
        <f>IF(AND(D264&lt;&gt;"",E264&lt;&gt;""),D264*E264+IF(ISBLANK(F264),0,F264),"")</f>
        <v/>
      </c>
    </row>
    <row r="265">
      <c r="G265">
        <f>IF(AND(D265&lt;&gt;"",E265&lt;&gt;""),D265*E265+IF(ISBLANK(F265),0,F265),"")</f>
        <v/>
      </c>
    </row>
    <row r="266">
      <c r="G266">
        <f>IF(AND(D266&lt;&gt;"",E266&lt;&gt;""),D266*E266+IF(ISBLANK(F266),0,F266),"")</f>
        <v/>
      </c>
    </row>
    <row r="267">
      <c r="G267">
        <f>IF(AND(D267&lt;&gt;"",E267&lt;&gt;""),D267*E267+IF(ISBLANK(F267),0,F267),"")</f>
        <v/>
      </c>
    </row>
    <row r="268">
      <c r="G268">
        <f>IF(AND(D268&lt;&gt;"",E268&lt;&gt;""),D268*E268+IF(ISBLANK(F268),0,F268),"")</f>
        <v/>
      </c>
    </row>
    <row r="269">
      <c r="G269">
        <f>IF(AND(D269&lt;&gt;"",E269&lt;&gt;""),D269*E269+IF(ISBLANK(F269),0,F269),"")</f>
        <v/>
      </c>
    </row>
    <row r="270">
      <c r="G270">
        <f>IF(AND(D270&lt;&gt;"",E270&lt;&gt;""),D270*E270+IF(ISBLANK(F270),0,F270),"")</f>
        <v/>
      </c>
    </row>
    <row r="271">
      <c r="G271">
        <f>IF(AND(D271&lt;&gt;"",E271&lt;&gt;""),D271*E271+IF(ISBLANK(F271),0,F271),"")</f>
        <v/>
      </c>
    </row>
    <row r="272">
      <c r="G272">
        <f>IF(AND(D272&lt;&gt;"",E272&lt;&gt;""),D272*E272+IF(ISBLANK(F272),0,F272),"")</f>
        <v/>
      </c>
    </row>
    <row r="273">
      <c r="G273">
        <f>IF(AND(D273&lt;&gt;"",E273&lt;&gt;""),D273*E273+IF(ISBLANK(F273),0,F273),"")</f>
        <v/>
      </c>
    </row>
    <row r="274">
      <c r="G274">
        <f>IF(AND(D274&lt;&gt;"",E274&lt;&gt;""),D274*E274+IF(ISBLANK(F274),0,F274),"")</f>
        <v/>
      </c>
    </row>
    <row r="275">
      <c r="G275">
        <f>IF(AND(D275&lt;&gt;"",E275&lt;&gt;""),D275*E275+IF(ISBLANK(F275),0,F275),"")</f>
        <v/>
      </c>
    </row>
    <row r="276">
      <c r="G276">
        <f>IF(AND(D276&lt;&gt;"",E276&lt;&gt;""),D276*E276+IF(ISBLANK(F276),0,F276),"")</f>
        <v/>
      </c>
    </row>
    <row r="277">
      <c r="G277">
        <f>IF(AND(D277&lt;&gt;"",E277&lt;&gt;""),D277*E277+IF(ISBLANK(F277),0,F277),"")</f>
        <v/>
      </c>
    </row>
    <row r="278">
      <c r="G278">
        <f>IF(AND(D278&lt;&gt;"",E278&lt;&gt;""),D278*E278+IF(ISBLANK(F278),0,F278),"")</f>
        <v/>
      </c>
    </row>
    <row r="279">
      <c r="G279">
        <f>IF(AND(D279&lt;&gt;"",E279&lt;&gt;""),D279*E279+IF(ISBLANK(F279),0,F279),"")</f>
        <v/>
      </c>
    </row>
    <row r="280">
      <c r="G280">
        <f>IF(AND(D280&lt;&gt;"",E280&lt;&gt;""),D280*E280+IF(ISBLANK(F280),0,F280),"")</f>
        <v/>
      </c>
    </row>
    <row r="281">
      <c r="G281">
        <f>IF(AND(D281&lt;&gt;"",E281&lt;&gt;""),D281*E281+IF(ISBLANK(F281),0,F281),"")</f>
        <v/>
      </c>
    </row>
    <row r="282">
      <c r="G282">
        <f>IF(AND(D282&lt;&gt;"",E282&lt;&gt;""),D282*E282+IF(ISBLANK(F282),0,F282),"")</f>
        <v/>
      </c>
    </row>
    <row r="283">
      <c r="G283">
        <f>IF(AND(D283&lt;&gt;"",E283&lt;&gt;""),D283*E283+IF(ISBLANK(F283),0,F283),"")</f>
        <v/>
      </c>
    </row>
    <row r="284">
      <c r="G284">
        <f>IF(AND(D284&lt;&gt;"",E284&lt;&gt;""),D284*E284+IF(ISBLANK(F284),0,F284),"")</f>
        <v/>
      </c>
    </row>
    <row r="285">
      <c r="G285">
        <f>IF(AND(D285&lt;&gt;"",E285&lt;&gt;""),D285*E285+IF(ISBLANK(F285),0,F285),"")</f>
        <v/>
      </c>
    </row>
    <row r="286">
      <c r="G286">
        <f>IF(AND(D286&lt;&gt;"",E286&lt;&gt;""),D286*E286+IF(ISBLANK(F286),0,F286),"")</f>
        <v/>
      </c>
    </row>
    <row r="287">
      <c r="G287">
        <f>IF(AND(D287&lt;&gt;"",E287&lt;&gt;""),D287*E287+IF(ISBLANK(F287),0,F287),"")</f>
        <v/>
      </c>
    </row>
    <row r="288">
      <c r="G288">
        <f>IF(AND(D288&lt;&gt;"",E288&lt;&gt;""),D288*E288+IF(ISBLANK(F288),0,F288),"")</f>
        <v/>
      </c>
    </row>
    <row r="289">
      <c r="G289">
        <f>IF(AND(D289&lt;&gt;"",E289&lt;&gt;""),D289*E289+IF(ISBLANK(F289),0,F289),"")</f>
        <v/>
      </c>
    </row>
    <row r="290">
      <c r="G290">
        <f>IF(AND(D290&lt;&gt;"",E290&lt;&gt;""),D290*E290+IF(ISBLANK(F290),0,F290),"")</f>
        <v/>
      </c>
    </row>
    <row r="291">
      <c r="G291">
        <f>IF(AND(D291&lt;&gt;"",E291&lt;&gt;""),D291*E291+IF(ISBLANK(F291),0,F291),"")</f>
        <v/>
      </c>
    </row>
    <row r="292">
      <c r="G292">
        <f>IF(AND(D292&lt;&gt;"",E292&lt;&gt;""),D292*E292+IF(ISBLANK(F292),0,F292),"")</f>
        <v/>
      </c>
    </row>
    <row r="293">
      <c r="G293">
        <f>IF(AND(D293&lt;&gt;"",E293&lt;&gt;""),D293*E293+IF(ISBLANK(F293),0,F293),"")</f>
        <v/>
      </c>
    </row>
    <row r="294">
      <c r="G294">
        <f>IF(AND(D294&lt;&gt;"",E294&lt;&gt;""),D294*E294+IF(ISBLANK(F294),0,F294),"")</f>
        <v/>
      </c>
    </row>
    <row r="295">
      <c r="G295">
        <f>IF(AND(D295&lt;&gt;"",E295&lt;&gt;""),D295*E295+IF(ISBLANK(F295),0,F295),"")</f>
        <v/>
      </c>
    </row>
    <row r="296">
      <c r="G296">
        <f>IF(AND(D296&lt;&gt;"",E296&lt;&gt;""),D296*E296+IF(ISBLANK(F296),0,F296),"")</f>
        <v/>
      </c>
    </row>
    <row r="297">
      <c r="G297">
        <f>IF(AND(D297&lt;&gt;"",E297&lt;&gt;""),D297*E297+IF(ISBLANK(F297),0,F297),"")</f>
        <v/>
      </c>
    </row>
    <row r="298">
      <c r="G298">
        <f>IF(AND(D298&lt;&gt;"",E298&lt;&gt;""),D298*E298+IF(ISBLANK(F298),0,F298),"")</f>
        <v/>
      </c>
    </row>
    <row r="299">
      <c r="G299">
        <f>IF(AND(D299&lt;&gt;"",E299&lt;&gt;""),D299*E299+IF(ISBLANK(F299),0,F299),"")</f>
        <v/>
      </c>
    </row>
    <row r="300">
      <c r="G300">
        <f>IF(AND(D300&lt;&gt;"",E300&lt;&gt;""),D300*E300+IF(ISBLANK(F300),0,F300),"")</f>
        <v/>
      </c>
    </row>
    <row r="301">
      <c r="G301">
        <f>IF(AND(D301&lt;&gt;"",E301&lt;&gt;""),D301*E301+IF(ISBLANK(F301),0,F301),"")</f>
        <v/>
      </c>
    </row>
    <row r="302">
      <c r="G302">
        <f>IF(AND(D302&lt;&gt;"",E302&lt;&gt;""),D302*E302+IF(ISBLANK(F302),0,F302),"")</f>
        <v/>
      </c>
    </row>
    <row r="303">
      <c r="G303">
        <f>IF(AND(D303&lt;&gt;"",E303&lt;&gt;""),D303*E303+IF(ISBLANK(F303),0,F303),"")</f>
        <v/>
      </c>
    </row>
    <row r="304">
      <c r="G304">
        <f>IF(AND(D304&lt;&gt;"",E304&lt;&gt;""),D304*E304+IF(ISBLANK(F304),0,F304),"")</f>
        <v/>
      </c>
    </row>
    <row r="305">
      <c r="G305">
        <f>IF(AND(D305&lt;&gt;"",E305&lt;&gt;""),D305*E305+IF(ISBLANK(F305),0,F305),"")</f>
        <v/>
      </c>
    </row>
    <row r="306">
      <c r="G306">
        <f>IF(AND(D306&lt;&gt;"",E306&lt;&gt;""),D306*E306+IF(ISBLANK(F306),0,F306),"")</f>
        <v/>
      </c>
    </row>
    <row r="307">
      <c r="G307">
        <f>IF(AND(D307&lt;&gt;"",E307&lt;&gt;""),D307*E307+IF(ISBLANK(F307),0,F307),"")</f>
        <v/>
      </c>
    </row>
    <row r="308">
      <c r="G308">
        <f>IF(AND(D308&lt;&gt;"",E308&lt;&gt;""),D308*E308+IF(ISBLANK(F308),0,F308),"")</f>
        <v/>
      </c>
    </row>
    <row r="309">
      <c r="G309">
        <f>IF(AND(D309&lt;&gt;"",E309&lt;&gt;""),D309*E309+IF(ISBLANK(F309),0,F309),"")</f>
        <v/>
      </c>
    </row>
    <row r="310">
      <c r="G310">
        <f>IF(AND(D310&lt;&gt;"",E310&lt;&gt;""),D310*E310+IF(ISBLANK(F310),0,F310),"")</f>
        <v/>
      </c>
    </row>
    <row r="311">
      <c r="G311">
        <f>IF(AND(D311&lt;&gt;"",E311&lt;&gt;""),D311*E311+IF(ISBLANK(F311),0,F311),"")</f>
        <v/>
      </c>
    </row>
    <row r="312">
      <c r="G312">
        <f>IF(AND(D312&lt;&gt;"",E312&lt;&gt;""),D312*E312+IF(ISBLANK(F312),0,F312),"")</f>
        <v/>
      </c>
    </row>
    <row r="313">
      <c r="G313">
        <f>IF(AND(D313&lt;&gt;"",E313&lt;&gt;""),D313*E313+IF(ISBLANK(F313),0,F313),"")</f>
        <v/>
      </c>
    </row>
    <row r="314">
      <c r="G314">
        <f>IF(AND(D314&lt;&gt;"",E314&lt;&gt;""),D314*E314+IF(ISBLANK(F314),0,F314),"")</f>
        <v/>
      </c>
    </row>
    <row r="315">
      <c r="G315">
        <f>IF(AND(D315&lt;&gt;"",E315&lt;&gt;""),D315*E315+IF(ISBLANK(F315),0,F315),"")</f>
        <v/>
      </c>
    </row>
    <row r="316">
      <c r="G316">
        <f>IF(AND(D316&lt;&gt;"",E316&lt;&gt;""),D316*E316+IF(ISBLANK(F316),0,F316),"")</f>
        <v/>
      </c>
    </row>
    <row r="317">
      <c r="G317">
        <f>IF(AND(D317&lt;&gt;"",E317&lt;&gt;""),D317*E317+IF(ISBLANK(F317),0,F317),"")</f>
        <v/>
      </c>
    </row>
    <row r="318">
      <c r="G318">
        <f>IF(AND(D318&lt;&gt;"",E318&lt;&gt;""),D318*E318+IF(ISBLANK(F318),0,F318),"")</f>
        <v/>
      </c>
    </row>
    <row r="319">
      <c r="G319">
        <f>IF(AND(D319&lt;&gt;"",E319&lt;&gt;""),D319*E319+IF(ISBLANK(F319),0,F319),"")</f>
        <v/>
      </c>
    </row>
    <row r="320">
      <c r="G320">
        <f>IF(AND(D320&lt;&gt;"",E320&lt;&gt;""),D320*E320+IF(ISBLANK(F320),0,F320),"")</f>
        <v/>
      </c>
    </row>
    <row r="321">
      <c r="G321">
        <f>IF(AND(D321&lt;&gt;"",E321&lt;&gt;""),D321*E321+IF(ISBLANK(F321),0,F321),"")</f>
        <v/>
      </c>
    </row>
    <row r="322">
      <c r="G322">
        <f>IF(AND(D322&lt;&gt;"",E322&lt;&gt;""),D322*E322+IF(ISBLANK(F322),0,F322),"")</f>
        <v/>
      </c>
    </row>
    <row r="323">
      <c r="G323">
        <f>IF(AND(D323&lt;&gt;"",E323&lt;&gt;""),D323*E323+IF(ISBLANK(F323),0,F323),"")</f>
        <v/>
      </c>
    </row>
    <row r="324">
      <c r="G324">
        <f>IF(AND(D324&lt;&gt;"",E324&lt;&gt;""),D324*E324+IF(ISBLANK(F324),0,F324),"")</f>
        <v/>
      </c>
    </row>
    <row r="325">
      <c r="G325">
        <f>IF(AND(D325&lt;&gt;"",E325&lt;&gt;""),D325*E325+IF(ISBLANK(F325),0,F325),"")</f>
        <v/>
      </c>
    </row>
    <row r="326">
      <c r="G326">
        <f>IF(AND(D326&lt;&gt;"",E326&lt;&gt;""),D326*E326+IF(ISBLANK(F326),0,F326),"")</f>
        <v/>
      </c>
    </row>
    <row r="327">
      <c r="G327">
        <f>IF(AND(D327&lt;&gt;"",E327&lt;&gt;""),D327*E327+IF(ISBLANK(F327),0,F327),"")</f>
        <v/>
      </c>
    </row>
    <row r="328">
      <c r="G328">
        <f>IF(AND(D328&lt;&gt;"",E328&lt;&gt;""),D328*E328+IF(ISBLANK(F328),0,F328),"")</f>
        <v/>
      </c>
    </row>
    <row r="329">
      <c r="G329">
        <f>IF(AND(D329&lt;&gt;"",E329&lt;&gt;""),D329*E329+IF(ISBLANK(F329),0,F329),"")</f>
        <v/>
      </c>
    </row>
    <row r="330">
      <c r="G330">
        <f>IF(AND(D330&lt;&gt;"",E330&lt;&gt;""),D330*E330+IF(ISBLANK(F330),0,F330),"")</f>
        <v/>
      </c>
    </row>
    <row r="331">
      <c r="G331">
        <f>IF(AND(D331&lt;&gt;"",E331&lt;&gt;""),D331*E331+IF(ISBLANK(F331),0,F331),"")</f>
        <v/>
      </c>
    </row>
    <row r="332">
      <c r="G332">
        <f>IF(AND(D332&lt;&gt;"",E332&lt;&gt;""),D332*E332+IF(ISBLANK(F332),0,F332),"")</f>
        <v/>
      </c>
    </row>
    <row r="333">
      <c r="G333">
        <f>IF(AND(D333&lt;&gt;"",E333&lt;&gt;""),D333*E333+IF(ISBLANK(F333),0,F333),"")</f>
        <v/>
      </c>
    </row>
    <row r="334">
      <c r="G334">
        <f>IF(AND(D334&lt;&gt;"",E334&lt;&gt;""),D334*E334+IF(ISBLANK(F334),0,F334),"")</f>
        <v/>
      </c>
    </row>
    <row r="335">
      <c r="G335">
        <f>IF(AND(D335&lt;&gt;"",E335&lt;&gt;""),D335*E335+IF(ISBLANK(F335),0,F335),"")</f>
        <v/>
      </c>
    </row>
    <row r="336">
      <c r="G336">
        <f>IF(AND(D336&lt;&gt;"",E336&lt;&gt;""),D336*E336+IF(ISBLANK(F336),0,F336),"")</f>
        <v/>
      </c>
    </row>
    <row r="337">
      <c r="G337">
        <f>IF(AND(D337&lt;&gt;"",E337&lt;&gt;""),D337*E337+IF(ISBLANK(F337),0,F337),"")</f>
        <v/>
      </c>
    </row>
    <row r="338">
      <c r="G338">
        <f>IF(AND(D338&lt;&gt;"",E338&lt;&gt;""),D338*E338+IF(ISBLANK(F338),0,F338),"")</f>
        <v/>
      </c>
    </row>
    <row r="339">
      <c r="G339">
        <f>IF(AND(D339&lt;&gt;"",E339&lt;&gt;""),D339*E339+IF(ISBLANK(F339),0,F339),"")</f>
        <v/>
      </c>
    </row>
    <row r="340">
      <c r="G340">
        <f>IF(AND(D340&lt;&gt;"",E340&lt;&gt;""),D340*E340+IF(ISBLANK(F340),0,F340),"")</f>
        <v/>
      </c>
    </row>
    <row r="341">
      <c r="G341">
        <f>IF(AND(D341&lt;&gt;"",E341&lt;&gt;""),D341*E341+IF(ISBLANK(F341),0,F341),"")</f>
        <v/>
      </c>
    </row>
    <row r="342">
      <c r="G342">
        <f>IF(AND(D342&lt;&gt;"",E342&lt;&gt;""),D342*E342+IF(ISBLANK(F342),0,F342),"")</f>
        <v/>
      </c>
    </row>
    <row r="343">
      <c r="G343">
        <f>IF(AND(D343&lt;&gt;"",E343&lt;&gt;""),D343*E343+IF(ISBLANK(F343),0,F343),"")</f>
        <v/>
      </c>
    </row>
    <row r="344">
      <c r="G344">
        <f>IF(AND(D344&lt;&gt;"",E344&lt;&gt;""),D344*E344+IF(ISBLANK(F344),0,F344),"")</f>
        <v/>
      </c>
    </row>
    <row r="345">
      <c r="G345">
        <f>IF(AND(D345&lt;&gt;"",E345&lt;&gt;""),D345*E345+IF(ISBLANK(F345),0,F345),"")</f>
        <v/>
      </c>
    </row>
    <row r="346">
      <c r="G346">
        <f>IF(AND(D346&lt;&gt;"",E346&lt;&gt;""),D346*E346+IF(ISBLANK(F346),0,F346),"")</f>
        <v/>
      </c>
    </row>
    <row r="347">
      <c r="G347">
        <f>IF(AND(D347&lt;&gt;"",E347&lt;&gt;""),D347*E347+IF(ISBLANK(F347),0,F347),"")</f>
        <v/>
      </c>
    </row>
    <row r="348">
      <c r="G348">
        <f>IF(AND(D348&lt;&gt;"",E348&lt;&gt;""),D348*E348+IF(ISBLANK(F348),0,F348),"")</f>
        <v/>
      </c>
    </row>
    <row r="349">
      <c r="G349">
        <f>IF(AND(D349&lt;&gt;"",E349&lt;&gt;""),D349*E349+IF(ISBLANK(F349),0,F349),"")</f>
        <v/>
      </c>
    </row>
    <row r="350">
      <c r="G350">
        <f>IF(AND(D350&lt;&gt;"",E350&lt;&gt;""),D350*E350+IF(ISBLANK(F350),0,F350),"")</f>
        <v/>
      </c>
    </row>
    <row r="351">
      <c r="G351">
        <f>IF(AND(D351&lt;&gt;"",E351&lt;&gt;""),D351*E351+IF(ISBLANK(F351),0,F351),"")</f>
        <v/>
      </c>
    </row>
    <row r="352">
      <c r="G352">
        <f>IF(AND(D352&lt;&gt;"",E352&lt;&gt;""),D352*E352+IF(ISBLANK(F352),0,F352),"")</f>
        <v/>
      </c>
    </row>
    <row r="353">
      <c r="G353">
        <f>IF(AND(D353&lt;&gt;"",E353&lt;&gt;""),D353*E353+IF(ISBLANK(F353),0,F353),"")</f>
        <v/>
      </c>
    </row>
    <row r="354">
      <c r="G354">
        <f>IF(AND(D354&lt;&gt;"",E354&lt;&gt;""),D354*E354+IF(ISBLANK(F354),0,F354),"")</f>
        <v/>
      </c>
    </row>
    <row r="355">
      <c r="G355">
        <f>IF(AND(D355&lt;&gt;"",E355&lt;&gt;""),D355*E355+IF(ISBLANK(F355),0,F355),"")</f>
        <v/>
      </c>
    </row>
    <row r="356">
      <c r="G356">
        <f>IF(AND(D356&lt;&gt;"",E356&lt;&gt;""),D356*E356+IF(ISBLANK(F356),0,F356),"")</f>
        <v/>
      </c>
    </row>
    <row r="357">
      <c r="G357">
        <f>IF(AND(D357&lt;&gt;"",E357&lt;&gt;""),D357*E357+IF(ISBLANK(F357),0,F357),"")</f>
        <v/>
      </c>
    </row>
    <row r="358">
      <c r="G358">
        <f>IF(AND(D358&lt;&gt;"",E358&lt;&gt;""),D358*E358+IF(ISBLANK(F358),0,F358),"")</f>
        <v/>
      </c>
    </row>
    <row r="359">
      <c r="G359">
        <f>IF(AND(D359&lt;&gt;"",E359&lt;&gt;""),D359*E359+IF(ISBLANK(F359),0,F359),"")</f>
        <v/>
      </c>
    </row>
    <row r="360">
      <c r="G360">
        <f>IF(AND(D360&lt;&gt;"",E360&lt;&gt;""),D360*E360+IF(ISBLANK(F360),0,F360),"")</f>
        <v/>
      </c>
    </row>
    <row r="361">
      <c r="G361">
        <f>IF(AND(D361&lt;&gt;"",E361&lt;&gt;""),D361*E361+IF(ISBLANK(F361),0,F361),"")</f>
        <v/>
      </c>
    </row>
    <row r="362">
      <c r="G362">
        <f>IF(AND(D362&lt;&gt;"",E362&lt;&gt;""),D362*E362+IF(ISBLANK(F362),0,F362),"")</f>
        <v/>
      </c>
    </row>
    <row r="363">
      <c r="G363">
        <f>IF(AND(D363&lt;&gt;"",E363&lt;&gt;""),D363*E363+IF(ISBLANK(F363),0,F363),"")</f>
        <v/>
      </c>
    </row>
    <row r="364">
      <c r="G364">
        <f>IF(AND(D364&lt;&gt;"",E364&lt;&gt;""),D364*E364+IF(ISBLANK(F364),0,F364),"")</f>
        <v/>
      </c>
    </row>
    <row r="365">
      <c r="G365">
        <f>IF(AND(D365&lt;&gt;"",E365&lt;&gt;""),D365*E365+IF(ISBLANK(F365),0,F365),"")</f>
        <v/>
      </c>
    </row>
    <row r="366">
      <c r="G366">
        <f>IF(AND(D366&lt;&gt;"",E366&lt;&gt;""),D366*E366+IF(ISBLANK(F366),0,F366),"")</f>
        <v/>
      </c>
    </row>
    <row r="367">
      <c r="G367">
        <f>IF(AND(D367&lt;&gt;"",E367&lt;&gt;""),D367*E367+IF(ISBLANK(F367),0,F367),"")</f>
        <v/>
      </c>
    </row>
    <row r="368">
      <c r="G368">
        <f>IF(AND(D368&lt;&gt;"",E368&lt;&gt;""),D368*E368+IF(ISBLANK(F368),0,F368),"")</f>
        <v/>
      </c>
    </row>
    <row r="369">
      <c r="G369">
        <f>IF(AND(D369&lt;&gt;"",E369&lt;&gt;""),D369*E369+IF(ISBLANK(F369),0,F369),"")</f>
        <v/>
      </c>
    </row>
    <row r="370">
      <c r="G370">
        <f>IF(AND(D370&lt;&gt;"",E370&lt;&gt;""),D370*E370+IF(ISBLANK(F370),0,F370),"")</f>
        <v/>
      </c>
    </row>
    <row r="371">
      <c r="G371">
        <f>IF(AND(D371&lt;&gt;"",E371&lt;&gt;""),D371*E371+IF(ISBLANK(F371),0,F371),"")</f>
        <v/>
      </c>
    </row>
    <row r="372">
      <c r="G372">
        <f>IF(AND(D372&lt;&gt;"",E372&lt;&gt;""),D372*E372+IF(ISBLANK(F372),0,F372),"")</f>
        <v/>
      </c>
    </row>
    <row r="373">
      <c r="G373">
        <f>IF(AND(D373&lt;&gt;"",E373&lt;&gt;""),D373*E373+IF(ISBLANK(F373),0,F373),"")</f>
        <v/>
      </c>
    </row>
    <row r="374">
      <c r="G374">
        <f>IF(AND(D374&lt;&gt;"",E374&lt;&gt;""),D374*E374+IF(ISBLANK(F374),0,F374),"")</f>
        <v/>
      </c>
    </row>
    <row r="375">
      <c r="G375">
        <f>IF(AND(D375&lt;&gt;"",E375&lt;&gt;""),D375*E375+IF(ISBLANK(F375),0,F375),"")</f>
        <v/>
      </c>
    </row>
    <row r="376">
      <c r="G376">
        <f>IF(AND(D376&lt;&gt;"",E376&lt;&gt;""),D376*E376+IF(ISBLANK(F376),0,F376),"")</f>
        <v/>
      </c>
    </row>
    <row r="377">
      <c r="G377">
        <f>IF(AND(D377&lt;&gt;"",E377&lt;&gt;""),D377*E377+IF(ISBLANK(F377),0,F377),"")</f>
        <v/>
      </c>
    </row>
    <row r="378">
      <c r="G378">
        <f>IF(AND(D378&lt;&gt;"",E378&lt;&gt;""),D378*E378+IF(ISBLANK(F378),0,F378),"")</f>
        <v/>
      </c>
    </row>
    <row r="379">
      <c r="G379">
        <f>IF(AND(D379&lt;&gt;"",E379&lt;&gt;""),D379*E379+IF(ISBLANK(F379),0,F379),"")</f>
        <v/>
      </c>
    </row>
    <row r="380">
      <c r="G380">
        <f>IF(AND(D380&lt;&gt;"",E380&lt;&gt;""),D380*E380+IF(ISBLANK(F380),0,F380),"")</f>
        <v/>
      </c>
    </row>
    <row r="381">
      <c r="G381">
        <f>IF(AND(D381&lt;&gt;"",E381&lt;&gt;""),D381*E381+IF(ISBLANK(F381),0,F381),"")</f>
        <v/>
      </c>
    </row>
    <row r="382">
      <c r="G382">
        <f>IF(AND(D382&lt;&gt;"",E382&lt;&gt;""),D382*E382+IF(ISBLANK(F382),0,F382),"")</f>
        <v/>
      </c>
    </row>
    <row r="383">
      <c r="G383">
        <f>IF(AND(D383&lt;&gt;"",E383&lt;&gt;""),D383*E383+IF(ISBLANK(F383),0,F383),"")</f>
        <v/>
      </c>
    </row>
    <row r="384">
      <c r="G384">
        <f>IF(AND(D384&lt;&gt;"",E384&lt;&gt;""),D384*E384+IF(ISBLANK(F384),0,F384),"")</f>
        <v/>
      </c>
    </row>
    <row r="385">
      <c r="G385">
        <f>IF(AND(D385&lt;&gt;"",E385&lt;&gt;""),D385*E385+IF(ISBLANK(F385),0,F385),"")</f>
        <v/>
      </c>
    </row>
    <row r="386">
      <c r="G386">
        <f>IF(AND(D386&lt;&gt;"",E386&lt;&gt;""),D386*E386+IF(ISBLANK(F386),0,F386),"")</f>
        <v/>
      </c>
    </row>
    <row r="387">
      <c r="G387">
        <f>IF(AND(D387&lt;&gt;"",E387&lt;&gt;""),D387*E387+IF(ISBLANK(F387),0,F387),"")</f>
        <v/>
      </c>
    </row>
    <row r="388">
      <c r="G388">
        <f>IF(AND(D388&lt;&gt;"",E388&lt;&gt;""),D388*E388+IF(ISBLANK(F388),0,F388),"")</f>
        <v/>
      </c>
    </row>
    <row r="389">
      <c r="G389">
        <f>IF(AND(D389&lt;&gt;"",E389&lt;&gt;""),D389*E389+IF(ISBLANK(F389),0,F389),"")</f>
        <v/>
      </c>
    </row>
    <row r="390">
      <c r="G390">
        <f>IF(AND(D390&lt;&gt;"",E390&lt;&gt;""),D390*E390+IF(ISBLANK(F390),0,F390),"")</f>
        <v/>
      </c>
    </row>
    <row r="391">
      <c r="G391">
        <f>IF(AND(D391&lt;&gt;"",E391&lt;&gt;""),D391*E391+IF(ISBLANK(F391),0,F391),"")</f>
        <v/>
      </c>
    </row>
    <row r="392">
      <c r="G392">
        <f>IF(AND(D392&lt;&gt;"",E392&lt;&gt;""),D392*E392+IF(ISBLANK(F392),0,F392),"")</f>
        <v/>
      </c>
    </row>
    <row r="393">
      <c r="G393">
        <f>IF(AND(D393&lt;&gt;"",E393&lt;&gt;""),D393*E393+IF(ISBLANK(F393),0,F393),"")</f>
        <v/>
      </c>
    </row>
    <row r="394">
      <c r="G394">
        <f>IF(AND(D394&lt;&gt;"",E394&lt;&gt;""),D394*E394+IF(ISBLANK(F394),0,F394),"")</f>
        <v/>
      </c>
    </row>
    <row r="395">
      <c r="G395">
        <f>IF(AND(D395&lt;&gt;"",E395&lt;&gt;""),D395*E395+IF(ISBLANK(F395),0,F395),"")</f>
        <v/>
      </c>
    </row>
    <row r="396">
      <c r="G396">
        <f>IF(AND(D396&lt;&gt;"",E396&lt;&gt;""),D396*E396+IF(ISBLANK(F396),0,F396),"")</f>
        <v/>
      </c>
    </row>
    <row r="397">
      <c r="G397">
        <f>IF(AND(D397&lt;&gt;"",E397&lt;&gt;""),D397*E397+IF(ISBLANK(F397),0,F397),"")</f>
        <v/>
      </c>
    </row>
    <row r="398">
      <c r="G398">
        <f>IF(AND(D398&lt;&gt;"",E398&lt;&gt;""),D398*E398+IF(ISBLANK(F398),0,F398),"")</f>
        <v/>
      </c>
    </row>
    <row r="399">
      <c r="G399">
        <f>IF(AND(D399&lt;&gt;"",E399&lt;&gt;""),D399*E399+IF(ISBLANK(F399),0,F399),"")</f>
        <v/>
      </c>
    </row>
    <row r="400">
      <c r="G400">
        <f>IF(AND(D400&lt;&gt;"",E400&lt;&gt;""),D400*E400+IF(ISBLANK(F400),0,F400),"")</f>
        <v/>
      </c>
    </row>
    <row r="401">
      <c r="G401">
        <f>IF(AND(D401&lt;&gt;"",E401&lt;&gt;""),D401*E401+IF(ISBLANK(F401),0,F401),"")</f>
        <v/>
      </c>
    </row>
    <row r="402">
      <c r="G402">
        <f>IF(AND(D402&lt;&gt;"",E402&lt;&gt;""),D402*E402+IF(ISBLANK(F402),0,F402),"")</f>
        <v/>
      </c>
    </row>
    <row r="403">
      <c r="G403">
        <f>IF(AND(D403&lt;&gt;"",E403&lt;&gt;""),D403*E403+IF(ISBLANK(F403),0,F403),"")</f>
        <v/>
      </c>
    </row>
    <row r="404">
      <c r="G404">
        <f>IF(AND(D404&lt;&gt;"",E404&lt;&gt;""),D404*E404+IF(ISBLANK(F404),0,F404),"")</f>
        <v/>
      </c>
    </row>
    <row r="405">
      <c r="G405">
        <f>IF(AND(D405&lt;&gt;"",E405&lt;&gt;""),D405*E405+IF(ISBLANK(F405),0,F405),"")</f>
        <v/>
      </c>
    </row>
    <row r="406">
      <c r="G406">
        <f>IF(AND(D406&lt;&gt;"",E406&lt;&gt;""),D406*E406+IF(ISBLANK(F406),0,F406),"")</f>
        <v/>
      </c>
    </row>
    <row r="407">
      <c r="G407">
        <f>IF(AND(D407&lt;&gt;"",E407&lt;&gt;""),D407*E407+IF(ISBLANK(F407),0,F407),"")</f>
        <v/>
      </c>
    </row>
    <row r="408">
      <c r="G408">
        <f>IF(AND(D408&lt;&gt;"",E408&lt;&gt;""),D408*E408+IF(ISBLANK(F408),0,F408),"")</f>
        <v/>
      </c>
    </row>
    <row r="409">
      <c r="G409">
        <f>IF(AND(D409&lt;&gt;"",E409&lt;&gt;""),D409*E409+IF(ISBLANK(F409),0,F409),"")</f>
        <v/>
      </c>
    </row>
    <row r="410">
      <c r="G410">
        <f>IF(AND(D410&lt;&gt;"",E410&lt;&gt;""),D410*E410+IF(ISBLANK(F410),0,F410),"")</f>
        <v/>
      </c>
    </row>
    <row r="411">
      <c r="G411">
        <f>IF(AND(D411&lt;&gt;"",E411&lt;&gt;""),D411*E411+IF(ISBLANK(F411),0,F411),"")</f>
        <v/>
      </c>
    </row>
    <row r="412">
      <c r="G412">
        <f>IF(AND(D412&lt;&gt;"",E412&lt;&gt;""),D412*E412+IF(ISBLANK(F412),0,F412),"")</f>
        <v/>
      </c>
    </row>
    <row r="413">
      <c r="G413">
        <f>IF(AND(D413&lt;&gt;"",E413&lt;&gt;""),D413*E413+IF(ISBLANK(F413),0,F413),"")</f>
        <v/>
      </c>
    </row>
    <row r="414">
      <c r="G414">
        <f>IF(AND(D414&lt;&gt;"",E414&lt;&gt;""),D414*E414+IF(ISBLANK(F414),0,F414),"")</f>
        <v/>
      </c>
    </row>
    <row r="415">
      <c r="G415">
        <f>IF(AND(D415&lt;&gt;"",E415&lt;&gt;""),D415*E415+IF(ISBLANK(F415),0,F415),"")</f>
        <v/>
      </c>
    </row>
    <row r="416">
      <c r="G416">
        <f>IF(AND(D416&lt;&gt;"",E416&lt;&gt;""),D416*E416+IF(ISBLANK(F416),0,F416),"")</f>
        <v/>
      </c>
    </row>
    <row r="417">
      <c r="G417">
        <f>IF(AND(D417&lt;&gt;"",E417&lt;&gt;""),D417*E417+IF(ISBLANK(F417),0,F417),"")</f>
        <v/>
      </c>
    </row>
    <row r="418">
      <c r="G418">
        <f>IF(AND(D418&lt;&gt;"",E418&lt;&gt;""),D418*E418+IF(ISBLANK(F418),0,F418),"")</f>
        <v/>
      </c>
    </row>
    <row r="419">
      <c r="G419">
        <f>IF(AND(D419&lt;&gt;"",E419&lt;&gt;""),D419*E419+IF(ISBLANK(F419),0,F419),"")</f>
        <v/>
      </c>
    </row>
    <row r="420">
      <c r="G420">
        <f>IF(AND(D420&lt;&gt;"",E420&lt;&gt;""),D420*E420+IF(ISBLANK(F420),0,F420),"")</f>
        <v/>
      </c>
    </row>
    <row r="421">
      <c r="G421">
        <f>IF(AND(D421&lt;&gt;"",E421&lt;&gt;""),D421*E421+IF(ISBLANK(F421),0,F421),"")</f>
        <v/>
      </c>
    </row>
    <row r="422">
      <c r="G422">
        <f>IF(AND(D422&lt;&gt;"",E422&lt;&gt;""),D422*E422+IF(ISBLANK(F422),0,F422),"")</f>
        <v/>
      </c>
    </row>
    <row r="423">
      <c r="G423">
        <f>IF(AND(D423&lt;&gt;"",E423&lt;&gt;""),D423*E423+IF(ISBLANK(F423),0,F423),"")</f>
        <v/>
      </c>
    </row>
    <row r="424">
      <c r="G424">
        <f>IF(AND(D424&lt;&gt;"",E424&lt;&gt;""),D424*E424+IF(ISBLANK(F424),0,F424),"")</f>
        <v/>
      </c>
    </row>
    <row r="425">
      <c r="G425">
        <f>IF(AND(D425&lt;&gt;"",E425&lt;&gt;""),D425*E425+IF(ISBLANK(F425),0,F425),"")</f>
        <v/>
      </c>
    </row>
    <row r="426">
      <c r="G426">
        <f>IF(AND(D426&lt;&gt;"",E426&lt;&gt;""),D426*E426+IF(ISBLANK(F426),0,F426),"")</f>
        <v/>
      </c>
    </row>
    <row r="427">
      <c r="G427">
        <f>IF(AND(D427&lt;&gt;"",E427&lt;&gt;""),D427*E427+IF(ISBLANK(F427),0,F427),"")</f>
        <v/>
      </c>
    </row>
    <row r="428">
      <c r="G428">
        <f>IF(AND(D428&lt;&gt;"",E428&lt;&gt;""),D428*E428+IF(ISBLANK(F428),0,F428),"")</f>
        <v/>
      </c>
    </row>
    <row r="429">
      <c r="G429">
        <f>IF(AND(D429&lt;&gt;"",E429&lt;&gt;""),D429*E429+IF(ISBLANK(F429),0,F429),"")</f>
        <v/>
      </c>
    </row>
    <row r="430">
      <c r="G430">
        <f>IF(AND(D430&lt;&gt;"",E430&lt;&gt;""),D430*E430+IF(ISBLANK(F430),0,F430),"")</f>
        <v/>
      </c>
    </row>
    <row r="431">
      <c r="G431">
        <f>IF(AND(D431&lt;&gt;"",E431&lt;&gt;""),D431*E431+IF(ISBLANK(F431),0,F431),"")</f>
        <v/>
      </c>
    </row>
    <row r="432">
      <c r="G432">
        <f>IF(AND(D432&lt;&gt;"",E432&lt;&gt;""),D432*E432+IF(ISBLANK(F432),0,F432),"")</f>
        <v/>
      </c>
    </row>
    <row r="433">
      <c r="G433">
        <f>IF(AND(D433&lt;&gt;"",E433&lt;&gt;""),D433*E433+IF(ISBLANK(F433),0,F433),"")</f>
        <v/>
      </c>
    </row>
    <row r="434">
      <c r="G434">
        <f>IF(AND(D434&lt;&gt;"",E434&lt;&gt;""),D434*E434+IF(ISBLANK(F434),0,F434),"")</f>
        <v/>
      </c>
    </row>
    <row r="435">
      <c r="G435">
        <f>IF(AND(D435&lt;&gt;"",E435&lt;&gt;""),D435*E435+IF(ISBLANK(F435),0,F435),"")</f>
        <v/>
      </c>
    </row>
    <row r="436">
      <c r="G436">
        <f>IF(AND(D436&lt;&gt;"",E436&lt;&gt;""),D436*E436+IF(ISBLANK(F436),0,F436),"")</f>
        <v/>
      </c>
    </row>
    <row r="437">
      <c r="G437">
        <f>IF(AND(D437&lt;&gt;"",E437&lt;&gt;""),D437*E437+IF(ISBLANK(F437),0,F437),"")</f>
        <v/>
      </c>
    </row>
    <row r="438">
      <c r="G438">
        <f>IF(AND(D438&lt;&gt;"",E438&lt;&gt;""),D438*E438+IF(ISBLANK(F438),0,F438),"")</f>
        <v/>
      </c>
    </row>
    <row r="439">
      <c r="G439">
        <f>IF(AND(D439&lt;&gt;"",E439&lt;&gt;""),D439*E439+IF(ISBLANK(F439),0,F439),"")</f>
        <v/>
      </c>
    </row>
    <row r="440">
      <c r="G440">
        <f>IF(AND(D440&lt;&gt;"",E440&lt;&gt;""),D440*E440+IF(ISBLANK(F440),0,F440),"")</f>
        <v/>
      </c>
    </row>
    <row r="441">
      <c r="G441">
        <f>IF(AND(D441&lt;&gt;"",E441&lt;&gt;""),D441*E441+IF(ISBLANK(F441),0,F441),"")</f>
        <v/>
      </c>
    </row>
    <row r="442">
      <c r="G442">
        <f>IF(AND(D442&lt;&gt;"",E442&lt;&gt;""),D442*E442+IF(ISBLANK(F442),0,F442),"")</f>
        <v/>
      </c>
    </row>
    <row r="443">
      <c r="G443">
        <f>IF(AND(D443&lt;&gt;"",E443&lt;&gt;""),D443*E443+IF(ISBLANK(F443),0,F443),"")</f>
        <v/>
      </c>
    </row>
    <row r="444">
      <c r="G444">
        <f>IF(AND(D444&lt;&gt;"",E444&lt;&gt;""),D444*E444+IF(ISBLANK(F444),0,F444),"")</f>
        <v/>
      </c>
    </row>
    <row r="445">
      <c r="G445">
        <f>IF(AND(D445&lt;&gt;"",E445&lt;&gt;""),D445*E445+IF(ISBLANK(F445),0,F445),"")</f>
        <v/>
      </c>
    </row>
    <row r="446">
      <c r="G446">
        <f>IF(AND(D446&lt;&gt;"",E446&lt;&gt;""),D446*E446+IF(ISBLANK(F446),0,F446),"")</f>
        <v/>
      </c>
    </row>
    <row r="447">
      <c r="G447">
        <f>IF(AND(D447&lt;&gt;"",E447&lt;&gt;""),D447*E447+IF(ISBLANK(F447),0,F447),"")</f>
        <v/>
      </c>
    </row>
    <row r="448">
      <c r="G448">
        <f>IF(AND(D448&lt;&gt;"",E448&lt;&gt;""),D448*E448+IF(ISBLANK(F448),0,F448),"")</f>
        <v/>
      </c>
    </row>
    <row r="449">
      <c r="G449">
        <f>IF(AND(D449&lt;&gt;"",E449&lt;&gt;""),D449*E449+IF(ISBLANK(F449),0,F449),"")</f>
        <v/>
      </c>
    </row>
    <row r="450">
      <c r="G450">
        <f>IF(AND(D450&lt;&gt;"",E450&lt;&gt;""),D450*E450+IF(ISBLANK(F450),0,F450),"")</f>
        <v/>
      </c>
    </row>
    <row r="451">
      <c r="G451">
        <f>IF(AND(D451&lt;&gt;"",E451&lt;&gt;""),D451*E451+IF(ISBLANK(F451),0,F451),"")</f>
        <v/>
      </c>
    </row>
    <row r="452">
      <c r="G452">
        <f>IF(AND(D452&lt;&gt;"",E452&lt;&gt;""),D452*E452+IF(ISBLANK(F452),0,F452),"")</f>
        <v/>
      </c>
    </row>
    <row r="453">
      <c r="G453">
        <f>IF(AND(D453&lt;&gt;"",E453&lt;&gt;""),D453*E453+IF(ISBLANK(F453),0,F453),"")</f>
        <v/>
      </c>
    </row>
    <row r="454">
      <c r="G454">
        <f>IF(AND(D454&lt;&gt;"",E454&lt;&gt;""),D454*E454+IF(ISBLANK(F454),0,F454),"")</f>
        <v/>
      </c>
    </row>
    <row r="455">
      <c r="G455">
        <f>IF(AND(D455&lt;&gt;"",E455&lt;&gt;""),D455*E455+IF(ISBLANK(F455),0,F455),"")</f>
        <v/>
      </c>
    </row>
    <row r="456">
      <c r="G456">
        <f>IF(AND(D456&lt;&gt;"",E456&lt;&gt;""),D456*E456+IF(ISBLANK(F456),0,F456),"")</f>
        <v/>
      </c>
    </row>
    <row r="457">
      <c r="G457">
        <f>IF(AND(D457&lt;&gt;"",E457&lt;&gt;""),D457*E457+IF(ISBLANK(F457),0,F457),"")</f>
        <v/>
      </c>
    </row>
    <row r="458">
      <c r="G458">
        <f>IF(AND(D458&lt;&gt;"",E458&lt;&gt;""),D458*E458+IF(ISBLANK(F458),0,F458),"")</f>
        <v/>
      </c>
    </row>
    <row r="459">
      <c r="G459">
        <f>IF(AND(D459&lt;&gt;"",E459&lt;&gt;""),D459*E459+IF(ISBLANK(F459),0,F459),"")</f>
        <v/>
      </c>
    </row>
    <row r="460">
      <c r="G460">
        <f>IF(AND(D460&lt;&gt;"",E460&lt;&gt;""),D460*E460+IF(ISBLANK(F460),0,F460),"")</f>
        <v/>
      </c>
    </row>
    <row r="461">
      <c r="G461">
        <f>IF(AND(D461&lt;&gt;"",E461&lt;&gt;""),D461*E461+IF(ISBLANK(F461),0,F461),"")</f>
        <v/>
      </c>
    </row>
    <row r="462">
      <c r="G462">
        <f>IF(AND(D462&lt;&gt;"",E462&lt;&gt;""),D462*E462+IF(ISBLANK(F462),0,F462),"")</f>
        <v/>
      </c>
    </row>
    <row r="463">
      <c r="G463">
        <f>IF(AND(D463&lt;&gt;"",E463&lt;&gt;""),D463*E463+IF(ISBLANK(F463),0,F463),"")</f>
        <v/>
      </c>
    </row>
    <row r="464">
      <c r="G464">
        <f>IF(AND(D464&lt;&gt;"",E464&lt;&gt;""),D464*E464+IF(ISBLANK(F464),0,F464),"")</f>
        <v/>
      </c>
    </row>
    <row r="465">
      <c r="G465">
        <f>IF(AND(D465&lt;&gt;"",E465&lt;&gt;""),D465*E465+IF(ISBLANK(F465),0,F465),"")</f>
        <v/>
      </c>
    </row>
    <row r="466">
      <c r="G466">
        <f>IF(AND(D466&lt;&gt;"",E466&lt;&gt;""),D466*E466+IF(ISBLANK(F466),0,F466),"")</f>
        <v/>
      </c>
    </row>
    <row r="467">
      <c r="G467">
        <f>IF(AND(D467&lt;&gt;"",E467&lt;&gt;""),D467*E467+IF(ISBLANK(F467),0,F467),"")</f>
        <v/>
      </c>
    </row>
    <row r="468">
      <c r="G468">
        <f>IF(AND(D468&lt;&gt;"",E468&lt;&gt;""),D468*E468+IF(ISBLANK(F468),0,F468),"")</f>
        <v/>
      </c>
    </row>
    <row r="469">
      <c r="G469">
        <f>IF(AND(D469&lt;&gt;"",E469&lt;&gt;""),D469*E469+IF(ISBLANK(F469),0,F469),"")</f>
        <v/>
      </c>
    </row>
    <row r="470">
      <c r="G470">
        <f>IF(AND(D470&lt;&gt;"",E470&lt;&gt;""),D470*E470+IF(ISBLANK(F470),0,F470),"")</f>
        <v/>
      </c>
    </row>
    <row r="471">
      <c r="G471">
        <f>IF(AND(D471&lt;&gt;"",E471&lt;&gt;""),D471*E471+IF(ISBLANK(F471),0,F471),"")</f>
        <v/>
      </c>
    </row>
    <row r="472">
      <c r="G472">
        <f>IF(AND(D472&lt;&gt;"",E472&lt;&gt;""),D472*E472+IF(ISBLANK(F472),0,F472),"")</f>
        <v/>
      </c>
    </row>
    <row r="473">
      <c r="G473">
        <f>IF(AND(D473&lt;&gt;"",E473&lt;&gt;""),D473*E473+IF(ISBLANK(F473),0,F473),"")</f>
        <v/>
      </c>
    </row>
    <row r="474">
      <c r="G474">
        <f>IF(AND(D474&lt;&gt;"",E474&lt;&gt;""),D474*E474+IF(ISBLANK(F474),0,F474),"")</f>
        <v/>
      </c>
    </row>
    <row r="475">
      <c r="G475">
        <f>IF(AND(D475&lt;&gt;"",E475&lt;&gt;""),D475*E475+IF(ISBLANK(F475),0,F475),"")</f>
        <v/>
      </c>
    </row>
    <row r="476">
      <c r="G476">
        <f>IF(AND(D476&lt;&gt;"",E476&lt;&gt;""),D476*E476+IF(ISBLANK(F476),0,F476),"")</f>
        <v/>
      </c>
    </row>
    <row r="477">
      <c r="G477">
        <f>IF(AND(D477&lt;&gt;"",E477&lt;&gt;""),D477*E477+IF(ISBLANK(F477),0,F477),"")</f>
        <v/>
      </c>
    </row>
    <row r="478">
      <c r="G478">
        <f>IF(AND(D478&lt;&gt;"",E478&lt;&gt;""),D478*E478+IF(ISBLANK(F478),0,F478),"")</f>
        <v/>
      </c>
    </row>
    <row r="479">
      <c r="G479">
        <f>IF(AND(D479&lt;&gt;"",E479&lt;&gt;""),D479*E479+IF(ISBLANK(F479),0,F479),"")</f>
        <v/>
      </c>
    </row>
    <row r="480">
      <c r="G480">
        <f>IF(AND(D480&lt;&gt;"",E480&lt;&gt;""),D480*E480+IF(ISBLANK(F480),0,F480),"")</f>
        <v/>
      </c>
    </row>
    <row r="481">
      <c r="G481">
        <f>IF(AND(D481&lt;&gt;"",E481&lt;&gt;""),D481*E481+IF(ISBLANK(F481),0,F481),"")</f>
        <v/>
      </c>
    </row>
    <row r="482">
      <c r="G482">
        <f>IF(AND(D482&lt;&gt;"",E482&lt;&gt;""),D482*E482+IF(ISBLANK(F482),0,F482),"")</f>
        <v/>
      </c>
    </row>
    <row r="483">
      <c r="G483">
        <f>IF(AND(D483&lt;&gt;"",E483&lt;&gt;""),D483*E483+IF(ISBLANK(F483),0,F483),"")</f>
        <v/>
      </c>
    </row>
    <row r="484">
      <c r="G484">
        <f>IF(AND(D484&lt;&gt;"",E484&lt;&gt;""),D484*E484+IF(ISBLANK(F484),0,F484),"")</f>
        <v/>
      </c>
    </row>
    <row r="485">
      <c r="G485">
        <f>IF(AND(D485&lt;&gt;"",E485&lt;&gt;""),D485*E485+IF(ISBLANK(F485),0,F485),"")</f>
        <v/>
      </c>
    </row>
    <row r="486">
      <c r="G486">
        <f>IF(AND(D486&lt;&gt;"",E486&lt;&gt;""),D486*E486+IF(ISBLANK(F486),0,F486),"")</f>
        <v/>
      </c>
    </row>
    <row r="487">
      <c r="G487">
        <f>IF(AND(D487&lt;&gt;"",E487&lt;&gt;""),D487*E487+IF(ISBLANK(F487),0,F487),"")</f>
        <v/>
      </c>
    </row>
    <row r="488">
      <c r="G488">
        <f>IF(AND(D488&lt;&gt;"",E488&lt;&gt;""),D488*E488+IF(ISBLANK(F488),0,F488),"")</f>
        <v/>
      </c>
    </row>
    <row r="489">
      <c r="G489">
        <f>IF(AND(D489&lt;&gt;"",E489&lt;&gt;""),D489*E489+IF(ISBLANK(F489),0,F489),"")</f>
        <v/>
      </c>
    </row>
    <row r="490">
      <c r="G490">
        <f>IF(AND(D490&lt;&gt;"",E490&lt;&gt;""),D490*E490+IF(ISBLANK(F490),0,F490),"")</f>
        <v/>
      </c>
    </row>
    <row r="491">
      <c r="G491">
        <f>IF(AND(D491&lt;&gt;"",E491&lt;&gt;""),D491*E491+IF(ISBLANK(F491),0,F491),"")</f>
        <v/>
      </c>
    </row>
    <row r="492">
      <c r="G492">
        <f>IF(AND(D492&lt;&gt;"",E492&lt;&gt;""),D492*E492+IF(ISBLANK(F492),0,F492),"")</f>
        <v/>
      </c>
    </row>
    <row r="493">
      <c r="G493">
        <f>IF(AND(D493&lt;&gt;"",E493&lt;&gt;""),D493*E493+IF(ISBLANK(F493),0,F493),"")</f>
        <v/>
      </c>
    </row>
    <row r="494">
      <c r="G494">
        <f>IF(AND(D494&lt;&gt;"",E494&lt;&gt;""),D494*E494+IF(ISBLANK(F494),0,F494),"")</f>
        <v/>
      </c>
    </row>
    <row r="495">
      <c r="G495">
        <f>IF(AND(D495&lt;&gt;"",E495&lt;&gt;""),D495*E495+IF(ISBLANK(F495),0,F495),"")</f>
        <v/>
      </c>
    </row>
    <row r="496">
      <c r="G496">
        <f>IF(AND(D496&lt;&gt;"",E496&lt;&gt;""),D496*E496+IF(ISBLANK(F496),0,F496),"")</f>
        <v/>
      </c>
    </row>
    <row r="497">
      <c r="G497">
        <f>IF(AND(D497&lt;&gt;"",E497&lt;&gt;""),D497*E497+IF(ISBLANK(F497),0,F497),"")</f>
        <v/>
      </c>
    </row>
    <row r="498">
      <c r="G498">
        <f>IF(AND(D498&lt;&gt;"",E498&lt;&gt;""),D498*E498+IF(ISBLANK(F498),0,F498),"")</f>
        <v/>
      </c>
    </row>
    <row r="499">
      <c r="G499">
        <f>IF(AND(D499&lt;&gt;"",E499&lt;&gt;""),D499*E499+IF(ISBLANK(F499),0,F499),"")</f>
        <v/>
      </c>
    </row>
    <row r="500">
      <c r="G500">
        <f>IF(AND(D500&lt;&gt;"",E500&lt;&gt;""),D500*E500+IF(ISBLANK(F500),0,F500),"")</f>
        <v/>
      </c>
    </row>
    <row r="501">
      <c r="G501">
        <f>IF(AND(D501&lt;&gt;"",E501&lt;&gt;""),D501*E501+IF(ISBLANK(F501),0,F501),"")</f>
        <v/>
      </c>
    </row>
    <row r="502">
      <c r="G502">
        <f>IF(AND(D502&lt;&gt;"",E502&lt;&gt;""),D502*E502+IF(ISBLANK(F502),0,F502),"")</f>
        <v/>
      </c>
    </row>
    <row r="503">
      <c r="G503">
        <f>IF(AND(D503&lt;&gt;"",E503&lt;&gt;""),D503*E503+IF(ISBLANK(F503),0,F503),"")</f>
        <v/>
      </c>
    </row>
    <row r="504">
      <c r="G504">
        <f>IF(AND(D504&lt;&gt;"",E504&lt;&gt;""),D504*E504+IF(ISBLANK(F504),0,F504),"")</f>
        <v/>
      </c>
    </row>
    <row r="505">
      <c r="G505">
        <f>IF(AND(D505&lt;&gt;"",E505&lt;&gt;""),D505*E505+IF(ISBLANK(F505),0,F505),"")</f>
        <v/>
      </c>
    </row>
    <row r="506">
      <c r="G506">
        <f>IF(AND(D506&lt;&gt;"",E506&lt;&gt;""),D506*E506+IF(ISBLANK(F506),0,F506),"")</f>
        <v/>
      </c>
    </row>
    <row r="507">
      <c r="G507">
        <f>IF(AND(D507&lt;&gt;"",E507&lt;&gt;""),D507*E507+IF(ISBLANK(F507),0,F507),"")</f>
        <v/>
      </c>
    </row>
    <row r="508">
      <c r="G508">
        <f>IF(AND(D508&lt;&gt;"",E508&lt;&gt;""),D508*E508+IF(ISBLANK(F508),0,F508),"")</f>
        <v/>
      </c>
    </row>
    <row r="509">
      <c r="G509">
        <f>IF(AND(D509&lt;&gt;"",E509&lt;&gt;""),D509*E509+IF(ISBLANK(F509),0,F509),"")</f>
        <v/>
      </c>
    </row>
    <row r="510">
      <c r="G510">
        <f>IF(AND(D510&lt;&gt;"",E510&lt;&gt;""),D510*E510+IF(ISBLANK(F510),0,F510),"")</f>
        <v/>
      </c>
    </row>
    <row r="511">
      <c r="G511">
        <f>IF(AND(D511&lt;&gt;"",E511&lt;&gt;""),D511*E511+IF(ISBLANK(F511),0,F511),"")</f>
        <v/>
      </c>
    </row>
    <row r="512">
      <c r="G512">
        <f>IF(AND(D512&lt;&gt;"",E512&lt;&gt;""),D512*E512+IF(ISBLANK(F512),0,F512),"")</f>
        <v/>
      </c>
    </row>
    <row r="513">
      <c r="G513">
        <f>IF(AND(D513&lt;&gt;"",E513&lt;&gt;""),D513*E513+IF(ISBLANK(F513),0,F513),"")</f>
        <v/>
      </c>
    </row>
    <row r="514">
      <c r="G514">
        <f>IF(AND(D514&lt;&gt;"",E514&lt;&gt;""),D514*E514+IF(ISBLANK(F514),0,F514),"")</f>
        <v/>
      </c>
    </row>
    <row r="515">
      <c r="G515">
        <f>IF(AND(D515&lt;&gt;"",E515&lt;&gt;""),D515*E515+IF(ISBLANK(F515),0,F515),"")</f>
        <v/>
      </c>
    </row>
    <row r="516">
      <c r="G516">
        <f>IF(AND(D516&lt;&gt;"",E516&lt;&gt;""),D516*E516+IF(ISBLANK(F516),0,F516),"")</f>
        <v/>
      </c>
    </row>
    <row r="517">
      <c r="G517">
        <f>IF(AND(D517&lt;&gt;"",E517&lt;&gt;""),D517*E517+IF(ISBLANK(F517),0,F517),"")</f>
        <v/>
      </c>
    </row>
    <row r="518">
      <c r="G518">
        <f>IF(AND(D518&lt;&gt;"",E518&lt;&gt;""),D518*E518+IF(ISBLANK(F518),0,F518),"")</f>
        <v/>
      </c>
    </row>
    <row r="519">
      <c r="G519">
        <f>IF(AND(D519&lt;&gt;"",E519&lt;&gt;""),D519*E519+IF(ISBLANK(F519),0,F519),"")</f>
        <v/>
      </c>
    </row>
    <row r="520">
      <c r="G520">
        <f>IF(AND(D520&lt;&gt;"",E520&lt;&gt;""),D520*E520+IF(ISBLANK(F520),0,F520),"")</f>
        <v/>
      </c>
    </row>
    <row r="521">
      <c r="G521">
        <f>IF(AND(D521&lt;&gt;"",E521&lt;&gt;""),D521*E521+IF(ISBLANK(F521),0,F521),"")</f>
        <v/>
      </c>
    </row>
    <row r="522">
      <c r="G522">
        <f>IF(AND(D522&lt;&gt;"",E522&lt;&gt;""),D522*E522+IF(ISBLANK(F522),0,F522),"")</f>
        <v/>
      </c>
    </row>
    <row r="523">
      <c r="G523">
        <f>IF(AND(D523&lt;&gt;"",E523&lt;&gt;""),D523*E523+IF(ISBLANK(F523),0,F523),"")</f>
        <v/>
      </c>
    </row>
    <row r="524">
      <c r="G524">
        <f>IF(AND(D524&lt;&gt;"",E524&lt;&gt;""),D524*E524+IF(ISBLANK(F524),0,F524),"")</f>
        <v/>
      </c>
    </row>
    <row r="525">
      <c r="G525">
        <f>IF(AND(D525&lt;&gt;"",E525&lt;&gt;""),D525*E525+IF(ISBLANK(F525),0,F525),"")</f>
        <v/>
      </c>
    </row>
    <row r="526">
      <c r="G526">
        <f>IF(AND(D526&lt;&gt;"",E526&lt;&gt;""),D526*E526+IF(ISBLANK(F526),0,F526),"")</f>
        <v/>
      </c>
    </row>
    <row r="527">
      <c r="G527">
        <f>IF(AND(D527&lt;&gt;"",E527&lt;&gt;""),D527*E527+IF(ISBLANK(F527),0,F527),"")</f>
        <v/>
      </c>
    </row>
    <row r="528">
      <c r="G528">
        <f>IF(AND(D528&lt;&gt;"",E528&lt;&gt;""),D528*E528+IF(ISBLANK(F528),0,F528),"")</f>
        <v/>
      </c>
    </row>
    <row r="529">
      <c r="G529">
        <f>IF(AND(D529&lt;&gt;"",E529&lt;&gt;""),D529*E529+IF(ISBLANK(F529),0,F529),"")</f>
        <v/>
      </c>
    </row>
    <row r="530">
      <c r="G530">
        <f>IF(AND(D530&lt;&gt;"",E530&lt;&gt;""),D530*E530+IF(ISBLANK(F530),0,F530),"")</f>
        <v/>
      </c>
    </row>
    <row r="531">
      <c r="G531">
        <f>IF(AND(D531&lt;&gt;"",E531&lt;&gt;""),D531*E531+IF(ISBLANK(F531),0,F531),"")</f>
        <v/>
      </c>
    </row>
    <row r="532">
      <c r="G532">
        <f>IF(AND(D532&lt;&gt;"",E532&lt;&gt;""),D532*E532+IF(ISBLANK(F532),0,F532),"")</f>
        <v/>
      </c>
    </row>
    <row r="533">
      <c r="G533">
        <f>IF(AND(D533&lt;&gt;"",E533&lt;&gt;""),D533*E533+IF(ISBLANK(F533),0,F533),"")</f>
        <v/>
      </c>
    </row>
    <row r="534">
      <c r="G534">
        <f>IF(AND(D534&lt;&gt;"",E534&lt;&gt;""),D534*E534+IF(ISBLANK(F534),0,F534),"")</f>
        <v/>
      </c>
    </row>
    <row r="535">
      <c r="G535">
        <f>IF(AND(D535&lt;&gt;"",E535&lt;&gt;""),D535*E535+IF(ISBLANK(F535),0,F535),"")</f>
        <v/>
      </c>
    </row>
    <row r="536">
      <c r="G536">
        <f>IF(AND(D536&lt;&gt;"",E536&lt;&gt;""),D536*E536+IF(ISBLANK(F536),0,F536),"")</f>
        <v/>
      </c>
    </row>
    <row r="537">
      <c r="G537">
        <f>IF(AND(D537&lt;&gt;"",E537&lt;&gt;""),D537*E537+IF(ISBLANK(F537),0,F537),"")</f>
        <v/>
      </c>
    </row>
    <row r="538">
      <c r="G538">
        <f>IF(AND(D538&lt;&gt;"",E538&lt;&gt;""),D538*E538+IF(ISBLANK(F538),0,F538),"")</f>
        <v/>
      </c>
    </row>
    <row r="539">
      <c r="G539">
        <f>IF(AND(D539&lt;&gt;"",E539&lt;&gt;""),D539*E539+IF(ISBLANK(F539),0,F539),"")</f>
        <v/>
      </c>
    </row>
    <row r="540">
      <c r="G540">
        <f>IF(AND(D540&lt;&gt;"",E540&lt;&gt;""),D540*E540+IF(ISBLANK(F540),0,F540),"")</f>
        <v/>
      </c>
    </row>
    <row r="541">
      <c r="G541">
        <f>IF(AND(D541&lt;&gt;"",E541&lt;&gt;""),D541*E541+IF(ISBLANK(F541),0,F541),"")</f>
        <v/>
      </c>
    </row>
    <row r="542">
      <c r="G542">
        <f>IF(AND(D542&lt;&gt;"",E542&lt;&gt;""),D542*E542+IF(ISBLANK(F542),0,F542),"")</f>
        <v/>
      </c>
    </row>
    <row r="543">
      <c r="G543">
        <f>IF(AND(D543&lt;&gt;"",E543&lt;&gt;""),D543*E543+IF(ISBLANK(F543),0,F543),"")</f>
        <v/>
      </c>
    </row>
    <row r="544">
      <c r="G544">
        <f>IF(AND(D544&lt;&gt;"",E544&lt;&gt;""),D544*E544+IF(ISBLANK(F544),0,F544),"")</f>
        <v/>
      </c>
    </row>
    <row r="545">
      <c r="G545">
        <f>IF(AND(D545&lt;&gt;"",E545&lt;&gt;""),D545*E545+IF(ISBLANK(F545),0,F545),"")</f>
        <v/>
      </c>
    </row>
    <row r="546">
      <c r="G546">
        <f>IF(AND(D546&lt;&gt;"",E546&lt;&gt;""),D546*E546+IF(ISBLANK(F546),0,F546),"")</f>
        <v/>
      </c>
    </row>
    <row r="547">
      <c r="G547">
        <f>IF(AND(D547&lt;&gt;"",E547&lt;&gt;""),D547*E547+IF(ISBLANK(F547),0,F547),"")</f>
        <v/>
      </c>
    </row>
    <row r="548">
      <c r="G548">
        <f>IF(AND(D548&lt;&gt;"",E548&lt;&gt;""),D548*E548+IF(ISBLANK(F548),0,F548),"")</f>
        <v/>
      </c>
    </row>
    <row r="549">
      <c r="G549">
        <f>IF(AND(D549&lt;&gt;"",E549&lt;&gt;""),D549*E549+IF(ISBLANK(F549),0,F549),"")</f>
        <v/>
      </c>
    </row>
    <row r="550">
      <c r="G550">
        <f>IF(AND(D550&lt;&gt;"",E550&lt;&gt;""),D550*E550+IF(ISBLANK(F550),0,F550),"")</f>
        <v/>
      </c>
    </row>
    <row r="551">
      <c r="G551">
        <f>IF(AND(D551&lt;&gt;"",E551&lt;&gt;""),D551*E551+IF(ISBLANK(F551),0,F551),"")</f>
        <v/>
      </c>
    </row>
    <row r="552">
      <c r="G552">
        <f>IF(AND(D552&lt;&gt;"",E552&lt;&gt;""),D552*E552+IF(ISBLANK(F552),0,F552),"")</f>
        <v/>
      </c>
    </row>
    <row r="553">
      <c r="G553">
        <f>IF(AND(D553&lt;&gt;"",E553&lt;&gt;""),D553*E553+IF(ISBLANK(F553),0,F553),"")</f>
        <v/>
      </c>
    </row>
    <row r="554">
      <c r="G554">
        <f>IF(AND(D554&lt;&gt;"",E554&lt;&gt;""),D554*E554+IF(ISBLANK(F554),0,F554),"")</f>
        <v/>
      </c>
    </row>
    <row r="555">
      <c r="G555">
        <f>IF(AND(D555&lt;&gt;"",E555&lt;&gt;""),D555*E555+IF(ISBLANK(F555),0,F555),"")</f>
        <v/>
      </c>
    </row>
    <row r="556">
      <c r="G556">
        <f>IF(AND(D556&lt;&gt;"",E556&lt;&gt;""),D556*E556+IF(ISBLANK(F556),0,F556),"")</f>
        <v/>
      </c>
    </row>
    <row r="557">
      <c r="G557">
        <f>IF(AND(D557&lt;&gt;"",E557&lt;&gt;""),D557*E557+IF(ISBLANK(F557),0,F557),"")</f>
        <v/>
      </c>
    </row>
    <row r="558">
      <c r="G558">
        <f>IF(AND(D558&lt;&gt;"",E558&lt;&gt;""),D558*E558+IF(ISBLANK(F558),0,F558),"")</f>
        <v/>
      </c>
    </row>
    <row r="559">
      <c r="G559">
        <f>IF(AND(D559&lt;&gt;"",E559&lt;&gt;""),D559*E559+IF(ISBLANK(F559),0,F559),"")</f>
        <v/>
      </c>
    </row>
    <row r="560">
      <c r="G560">
        <f>IF(AND(D560&lt;&gt;"",E560&lt;&gt;""),D560*E560+IF(ISBLANK(F560),0,F560),"")</f>
        <v/>
      </c>
    </row>
    <row r="561">
      <c r="G561">
        <f>IF(AND(D561&lt;&gt;"",E561&lt;&gt;""),D561*E561+IF(ISBLANK(F561),0,F561),"")</f>
        <v/>
      </c>
    </row>
    <row r="562">
      <c r="G562">
        <f>IF(AND(D562&lt;&gt;"",E562&lt;&gt;""),D562*E562+IF(ISBLANK(F562),0,F562),"")</f>
        <v/>
      </c>
    </row>
    <row r="563">
      <c r="G563">
        <f>IF(AND(D563&lt;&gt;"",E563&lt;&gt;""),D563*E563+IF(ISBLANK(F563),0,F563),"")</f>
        <v/>
      </c>
    </row>
    <row r="564">
      <c r="G564">
        <f>IF(AND(D564&lt;&gt;"",E564&lt;&gt;""),D564*E564+IF(ISBLANK(F564),0,F564),"")</f>
        <v/>
      </c>
    </row>
    <row r="565">
      <c r="G565">
        <f>IF(AND(D565&lt;&gt;"",E565&lt;&gt;""),D565*E565+IF(ISBLANK(F565),0,F565),"")</f>
        <v/>
      </c>
    </row>
    <row r="566">
      <c r="G566">
        <f>IF(AND(D566&lt;&gt;"",E566&lt;&gt;""),D566*E566+IF(ISBLANK(F566),0,F566),"")</f>
        <v/>
      </c>
    </row>
    <row r="567">
      <c r="G567">
        <f>IF(AND(D567&lt;&gt;"",E567&lt;&gt;""),D567*E567+IF(ISBLANK(F567),0,F567),"")</f>
        <v/>
      </c>
    </row>
    <row r="568">
      <c r="G568">
        <f>IF(AND(D568&lt;&gt;"",E568&lt;&gt;""),D568*E568+IF(ISBLANK(F568),0,F568),"")</f>
        <v/>
      </c>
    </row>
    <row r="569">
      <c r="G569">
        <f>IF(AND(D569&lt;&gt;"",E569&lt;&gt;""),D569*E569+IF(ISBLANK(F569),0,F569),"")</f>
        <v/>
      </c>
    </row>
    <row r="570">
      <c r="G570">
        <f>IF(AND(D570&lt;&gt;"",E570&lt;&gt;""),D570*E570+IF(ISBLANK(F570),0,F570),"")</f>
        <v/>
      </c>
    </row>
    <row r="571">
      <c r="G571">
        <f>IF(AND(D571&lt;&gt;"",E571&lt;&gt;""),D571*E571+IF(ISBLANK(F571),0,F571),"")</f>
        <v/>
      </c>
    </row>
    <row r="572">
      <c r="G572">
        <f>IF(AND(D572&lt;&gt;"",E572&lt;&gt;""),D572*E572+IF(ISBLANK(F572),0,F572),"")</f>
        <v/>
      </c>
    </row>
    <row r="573">
      <c r="G573">
        <f>IF(AND(D573&lt;&gt;"",E573&lt;&gt;""),D573*E573+IF(ISBLANK(F573),0,F573),"")</f>
        <v/>
      </c>
    </row>
    <row r="574">
      <c r="G574">
        <f>IF(AND(D574&lt;&gt;"",E574&lt;&gt;""),D574*E574+IF(ISBLANK(F574),0,F574),"")</f>
        <v/>
      </c>
    </row>
    <row r="575">
      <c r="G575">
        <f>IF(AND(D575&lt;&gt;"",E575&lt;&gt;""),D575*E575+IF(ISBLANK(F575),0,F575),"")</f>
        <v/>
      </c>
    </row>
    <row r="576">
      <c r="G576">
        <f>IF(AND(D576&lt;&gt;"",E576&lt;&gt;""),D576*E576+IF(ISBLANK(F576),0,F576),"")</f>
        <v/>
      </c>
    </row>
    <row r="577">
      <c r="G577">
        <f>IF(AND(D577&lt;&gt;"",E577&lt;&gt;""),D577*E577+IF(ISBLANK(F577),0,F577),"")</f>
        <v/>
      </c>
    </row>
    <row r="578">
      <c r="G578">
        <f>IF(AND(D578&lt;&gt;"",E578&lt;&gt;""),D578*E578+IF(ISBLANK(F578),0,F578),"")</f>
        <v/>
      </c>
    </row>
    <row r="579">
      <c r="G579">
        <f>IF(AND(D579&lt;&gt;"",E579&lt;&gt;""),D579*E579+IF(ISBLANK(F579),0,F579),"")</f>
        <v/>
      </c>
    </row>
    <row r="580">
      <c r="G580">
        <f>IF(AND(D580&lt;&gt;"",E580&lt;&gt;""),D580*E580+IF(ISBLANK(F580),0,F580),"")</f>
        <v/>
      </c>
    </row>
    <row r="581">
      <c r="G581">
        <f>IF(AND(D581&lt;&gt;"",E581&lt;&gt;""),D581*E581+IF(ISBLANK(F581),0,F581),"")</f>
        <v/>
      </c>
    </row>
    <row r="582">
      <c r="G582">
        <f>IF(AND(D582&lt;&gt;"",E582&lt;&gt;""),D582*E582+IF(ISBLANK(F582),0,F582),"")</f>
        <v/>
      </c>
    </row>
    <row r="583">
      <c r="G583">
        <f>IF(AND(D583&lt;&gt;"",E583&lt;&gt;""),D583*E583+IF(ISBLANK(F583),0,F583),"")</f>
        <v/>
      </c>
    </row>
    <row r="584">
      <c r="G584">
        <f>IF(AND(D584&lt;&gt;"",E584&lt;&gt;""),D584*E584+IF(ISBLANK(F584),0,F584),"")</f>
        <v/>
      </c>
    </row>
    <row r="585">
      <c r="G585">
        <f>IF(AND(D585&lt;&gt;"",E585&lt;&gt;""),D585*E585+IF(ISBLANK(F585),0,F585),"")</f>
        <v/>
      </c>
    </row>
    <row r="586">
      <c r="G586">
        <f>IF(AND(D586&lt;&gt;"",E586&lt;&gt;""),D586*E586+IF(ISBLANK(F586),0,F586),"")</f>
        <v/>
      </c>
    </row>
    <row r="587">
      <c r="G587">
        <f>IF(AND(D587&lt;&gt;"",E587&lt;&gt;""),D587*E587+IF(ISBLANK(F587),0,F587),"")</f>
        <v/>
      </c>
    </row>
    <row r="588">
      <c r="G588">
        <f>IF(AND(D588&lt;&gt;"",E588&lt;&gt;""),D588*E588+IF(ISBLANK(F588),0,F588),"")</f>
        <v/>
      </c>
    </row>
    <row r="589">
      <c r="G589">
        <f>IF(AND(D589&lt;&gt;"",E589&lt;&gt;""),D589*E589+IF(ISBLANK(F589),0,F589),"")</f>
        <v/>
      </c>
    </row>
    <row r="590">
      <c r="G590">
        <f>IF(AND(D590&lt;&gt;"",E590&lt;&gt;""),D590*E590+IF(ISBLANK(F590),0,F590),"")</f>
        <v/>
      </c>
    </row>
    <row r="591">
      <c r="G591">
        <f>IF(AND(D591&lt;&gt;"",E591&lt;&gt;""),D591*E591+IF(ISBLANK(F591),0,F591),"")</f>
        <v/>
      </c>
    </row>
    <row r="592">
      <c r="G592">
        <f>IF(AND(D592&lt;&gt;"",E592&lt;&gt;""),D592*E592+IF(ISBLANK(F592),0,F592),"")</f>
        <v/>
      </c>
    </row>
    <row r="593">
      <c r="G593">
        <f>IF(AND(D593&lt;&gt;"",E593&lt;&gt;""),D593*E593+IF(ISBLANK(F593),0,F593),"")</f>
        <v/>
      </c>
    </row>
    <row r="594">
      <c r="G594">
        <f>IF(AND(D594&lt;&gt;"",E594&lt;&gt;""),D594*E594+IF(ISBLANK(F594),0,F594),"")</f>
        <v/>
      </c>
    </row>
    <row r="595">
      <c r="G595">
        <f>IF(AND(D595&lt;&gt;"",E595&lt;&gt;""),D595*E595+IF(ISBLANK(F595),0,F595),"")</f>
        <v/>
      </c>
    </row>
    <row r="596">
      <c r="G596">
        <f>IF(AND(D596&lt;&gt;"",E596&lt;&gt;""),D596*E596+IF(ISBLANK(F596),0,F596),"")</f>
        <v/>
      </c>
    </row>
    <row r="597">
      <c r="G597">
        <f>IF(AND(D597&lt;&gt;"",E597&lt;&gt;""),D597*E597+IF(ISBLANK(F597),0,F597),"")</f>
        <v/>
      </c>
    </row>
    <row r="598">
      <c r="G598">
        <f>IF(AND(D598&lt;&gt;"",E598&lt;&gt;""),D598*E598+IF(ISBLANK(F598),0,F598),"")</f>
        <v/>
      </c>
    </row>
    <row r="599">
      <c r="G599">
        <f>IF(AND(D599&lt;&gt;"",E599&lt;&gt;""),D599*E599+IF(ISBLANK(F599),0,F599),"")</f>
        <v/>
      </c>
    </row>
    <row r="600">
      <c r="G600">
        <f>IF(AND(D600&lt;&gt;"",E600&lt;&gt;""),D600*E600+IF(ISBLANK(F600),0,F600),"")</f>
        <v/>
      </c>
    </row>
    <row r="601">
      <c r="G601">
        <f>IF(AND(D601&lt;&gt;"",E601&lt;&gt;""),D601*E601+IF(ISBLANK(F601),0,F601),"")</f>
        <v/>
      </c>
    </row>
    <row r="602">
      <c r="G602">
        <f>IF(AND(D602&lt;&gt;"",E602&lt;&gt;""),D602*E602+IF(ISBLANK(F602),0,F602),"")</f>
        <v/>
      </c>
    </row>
    <row r="603">
      <c r="G603">
        <f>IF(AND(D603&lt;&gt;"",E603&lt;&gt;""),D603*E603+IF(ISBLANK(F603),0,F603),"")</f>
        <v/>
      </c>
    </row>
    <row r="604">
      <c r="G604">
        <f>IF(AND(D604&lt;&gt;"",E604&lt;&gt;""),D604*E604+IF(ISBLANK(F604),0,F604),"")</f>
        <v/>
      </c>
    </row>
    <row r="605">
      <c r="G605">
        <f>IF(AND(D605&lt;&gt;"",E605&lt;&gt;""),D605*E605+IF(ISBLANK(F605),0,F605),"")</f>
        <v/>
      </c>
    </row>
    <row r="606">
      <c r="G606">
        <f>IF(AND(D606&lt;&gt;"",E606&lt;&gt;""),D606*E606+IF(ISBLANK(F606),0,F606),"")</f>
        <v/>
      </c>
    </row>
    <row r="607">
      <c r="G607">
        <f>IF(AND(D607&lt;&gt;"",E607&lt;&gt;""),D607*E607+IF(ISBLANK(F607),0,F607),"")</f>
        <v/>
      </c>
    </row>
    <row r="608">
      <c r="G608">
        <f>IF(AND(D608&lt;&gt;"",E608&lt;&gt;""),D608*E608+IF(ISBLANK(F608),0,F608),"")</f>
        <v/>
      </c>
    </row>
    <row r="609">
      <c r="G609">
        <f>IF(AND(D609&lt;&gt;"",E609&lt;&gt;""),D609*E609+IF(ISBLANK(F609),0,F609),"")</f>
        <v/>
      </c>
    </row>
    <row r="610">
      <c r="G610">
        <f>IF(AND(D610&lt;&gt;"",E610&lt;&gt;""),D610*E610+IF(ISBLANK(F610),0,F610),"")</f>
        <v/>
      </c>
    </row>
    <row r="611">
      <c r="G611">
        <f>IF(AND(D611&lt;&gt;"",E611&lt;&gt;""),D611*E611+IF(ISBLANK(F611),0,F611),"")</f>
        <v/>
      </c>
    </row>
    <row r="612">
      <c r="G612">
        <f>IF(AND(D612&lt;&gt;"",E612&lt;&gt;""),D612*E612+IF(ISBLANK(F612),0,F612),"")</f>
        <v/>
      </c>
    </row>
    <row r="613">
      <c r="G613">
        <f>IF(AND(D613&lt;&gt;"",E613&lt;&gt;""),D613*E613+IF(ISBLANK(F613),0,F613),"")</f>
        <v/>
      </c>
    </row>
    <row r="614">
      <c r="G614">
        <f>IF(AND(D614&lt;&gt;"",E614&lt;&gt;""),D614*E614+IF(ISBLANK(F614),0,F614),"")</f>
        <v/>
      </c>
    </row>
    <row r="615">
      <c r="G615">
        <f>IF(AND(D615&lt;&gt;"",E615&lt;&gt;""),D615*E615+IF(ISBLANK(F615),0,F615),"")</f>
        <v/>
      </c>
    </row>
    <row r="616">
      <c r="G616">
        <f>IF(AND(D616&lt;&gt;"",E616&lt;&gt;""),D616*E616+IF(ISBLANK(F616),0,F616),"")</f>
        <v/>
      </c>
    </row>
    <row r="617">
      <c r="G617">
        <f>IF(AND(D617&lt;&gt;"",E617&lt;&gt;""),D617*E617+IF(ISBLANK(F617),0,F617),"")</f>
        <v/>
      </c>
    </row>
    <row r="618">
      <c r="G618">
        <f>IF(AND(D618&lt;&gt;"",E618&lt;&gt;""),D618*E618+IF(ISBLANK(F618),0,F618),"")</f>
        <v/>
      </c>
    </row>
    <row r="619">
      <c r="G619">
        <f>IF(AND(D619&lt;&gt;"",E619&lt;&gt;""),D619*E619+IF(ISBLANK(F619),0,F619),"")</f>
        <v/>
      </c>
    </row>
    <row r="620">
      <c r="G620">
        <f>IF(AND(D620&lt;&gt;"",E620&lt;&gt;""),D620*E620+IF(ISBLANK(F620),0,F620),"")</f>
        <v/>
      </c>
    </row>
    <row r="621">
      <c r="G621">
        <f>IF(AND(D621&lt;&gt;"",E621&lt;&gt;""),D621*E621+IF(ISBLANK(F621),0,F621),"")</f>
        <v/>
      </c>
    </row>
    <row r="622">
      <c r="G622">
        <f>IF(AND(D622&lt;&gt;"",E622&lt;&gt;""),D622*E622+IF(ISBLANK(F622),0,F622),"")</f>
        <v/>
      </c>
    </row>
    <row r="623">
      <c r="G623">
        <f>IF(AND(D623&lt;&gt;"",E623&lt;&gt;""),D623*E623+IF(ISBLANK(F623),0,F623),"")</f>
        <v/>
      </c>
    </row>
    <row r="624">
      <c r="G624">
        <f>IF(AND(D624&lt;&gt;"",E624&lt;&gt;""),D624*E624+IF(ISBLANK(F624),0,F624),"")</f>
        <v/>
      </c>
    </row>
    <row r="625">
      <c r="G625">
        <f>IF(AND(D625&lt;&gt;"",E625&lt;&gt;""),D625*E625+IF(ISBLANK(F625),0,F625),"")</f>
        <v/>
      </c>
    </row>
    <row r="626">
      <c r="G626">
        <f>IF(AND(D626&lt;&gt;"",E626&lt;&gt;""),D626*E626+IF(ISBLANK(F626),0,F626),"")</f>
        <v/>
      </c>
    </row>
    <row r="627">
      <c r="G627">
        <f>IF(AND(D627&lt;&gt;"",E627&lt;&gt;""),D627*E627+IF(ISBLANK(F627),0,F627),"")</f>
        <v/>
      </c>
    </row>
    <row r="628">
      <c r="G628">
        <f>IF(AND(D628&lt;&gt;"",E628&lt;&gt;""),D628*E628+IF(ISBLANK(F628),0,F628),"")</f>
        <v/>
      </c>
    </row>
    <row r="629">
      <c r="G629">
        <f>IF(AND(D629&lt;&gt;"",E629&lt;&gt;""),D629*E629+IF(ISBLANK(F629),0,F629),"")</f>
        <v/>
      </c>
    </row>
    <row r="630">
      <c r="G630">
        <f>IF(AND(D630&lt;&gt;"",E630&lt;&gt;""),D630*E630+IF(ISBLANK(F630),0,F630),"")</f>
        <v/>
      </c>
    </row>
    <row r="631">
      <c r="G631">
        <f>IF(AND(D631&lt;&gt;"",E631&lt;&gt;""),D631*E631+IF(ISBLANK(F631),0,F631),"")</f>
        <v/>
      </c>
    </row>
    <row r="632">
      <c r="G632">
        <f>IF(AND(D632&lt;&gt;"",E632&lt;&gt;""),D632*E632+IF(ISBLANK(F632),0,F632),"")</f>
        <v/>
      </c>
    </row>
    <row r="633">
      <c r="G633">
        <f>IF(AND(D633&lt;&gt;"",E633&lt;&gt;""),D633*E633+IF(ISBLANK(F633),0,F633),"")</f>
        <v/>
      </c>
    </row>
    <row r="634">
      <c r="G634">
        <f>IF(AND(D634&lt;&gt;"",E634&lt;&gt;""),D634*E634+IF(ISBLANK(F634),0,F634),"")</f>
        <v/>
      </c>
    </row>
    <row r="635">
      <c r="G635">
        <f>IF(AND(D635&lt;&gt;"",E635&lt;&gt;""),D635*E635+IF(ISBLANK(F635),0,F635),"")</f>
        <v/>
      </c>
    </row>
    <row r="636">
      <c r="G636">
        <f>IF(AND(D636&lt;&gt;"",E636&lt;&gt;""),D636*E636+IF(ISBLANK(F636),0,F636),"")</f>
        <v/>
      </c>
    </row>
    <row r="637">
      <c r="G637">
        <f>IF(AND(D637&lt;&gt;"",E637&lt;&gt;""),D637*E637+IF(ISBLANK(F637),0,F637),"")</f>
        <v/>
      </c>
    </row>
    <row r="638">
      <c r="G638">
        <f>IF(AND(D638&lt;&gt;"",E638&lt;&gt;""),D638*E638+IF(ISBLANK(F638),0,F638),"")</f>
        <v/>
      </c>
    </row>
    <row r="639">
      <c r="G639">
        <f>IF(AND(D639&lt;&gt;"",E639&lt;&gt;""),D639*E639+IF(ISBLANK(F639),0,F639),"")</f>
        <v/>
      </c>
    </row>
    <row r="640">
      <c r="G640">
        <f>IF(AND(D640&lt;&gt;"",E640&lt;&gt;""),D640*E640+IF(ISBLANK(F640),0,F640),"")</f>
        <v/>
      </c>
    </row>
    <row r="641">
      <c r="G641">
        <f>IF(AND(D641&lt;&gt;"",E641&lt;&gt;""),D641*E641+IF(ISBLANK(F641),0,F641),"")</f>
        <v/>
      </c>
    </row>
    <row r="642">
      <c r="G642">
        <f>IF(AND(D642&lt;&gt;"",E642&lt;&gt;""),D642*E642+IF(ISBLANK(F642),0,F642),"")</f>
        <v/>
      </c>
    </row>
    <row r="643">
      <c r="G643">
        <f>IF(AND(D643&lt;&gt;"",E643&lt;&gt;""),D643*E643+IF(ISBLANK(F643),0,F643),"")</f>
        <v/>
      </c>
    </row>
    <row r="644">
      <c r="G644">
        <f>IF(AND(D644&lt;&gt;"",E644&lt;&gt;""),D644*E644+IF(ISBLANK(F644),0,F644),"")</f>
        <v/>
      </c>
    </row>
    <row r="645">
      <c r="G645">
        <f>IF(AND(D645&lt;&gt;"",E645&lt;&gt;""),D645*E645+IF(ISBLANK(F645),0,F645),"")</f>
        <v/>
      </c>
    </row>
    <row r="646">
      <c r="G646">
        <f>IF(AND(D646&lt;&gt;"",E646&lt;&gt;""),D646*E646+IF(ISBLANK(F646),0,F646),"")</f>
        <v/>
      </c>
    </row>
    <row r="647">
      <c r="G647">
        <f>IF(AND(D647&lt;&gt;"",E647&lt;&gt;""),D647*E647+IF(ISBLANK(F647),0,F647),"")</f>
        <v/>
      </c>
    </row>
    <row r="648">
      <c r="G648">
        <f>IF(AND(D648&lt;&gt;"",E648&lt;&gt;""),D648*E648+IF(ISBLANK(F648),0,F648),"")</f>
        <v/>
      </c>
    </row>
    <row r="649">
      <c r="G649">
        <f>IF(AND(D649&lt;&gt;"",E649&lt;&gt;""),D649*E649+IF(ISBLANK(F649),0,F649),"")</f>
        <v/>
      </c>
    </row>
    <row r="650">
      <c r="G650">
        <f>IF(AND(D650&lt;&gt;"",E650&lt;&gt;""),D650*E650+IF(ISBLANK(F650),0,F650),"")</f>
        <v/>
      </c>
    </row>
    <row r="651">
      <c r="G651">
        <f>IF(AND(D651&lt;&gt;"",E651&lt;&gt;""),D651*E651+IF(ISBLANK(F651),0,F651),"")</f>
        <v/>
      </c>
    </row>
    <row r="652">
      <c r="G652">
        <f>IF(AND(D652&lt;&gt;"",E652&lt;&gt;""),D652*E652+IF(ISBLANK(F652),0,F652),"")</f>
        <v/>
      </c>
    </row>
    <row r="653">
      <c r="G653">
        <f>IF(AND(D653&lt;&gt;"",E653&lt;&gt;""),D653*E653+IF(ISBLANK(F653),0,F653),"")</f>
        <v/>
      </c>
    </row>
    <row r="654">
      <c r="G654">
        <f>IF(AND(D654&lt;&gt;"",E654&lt;&gt;""),D654*E654+IF(ISBLANK(F654),0,F654),"")</f>
        <v/>
      </c>
    </row>
    <row r="655">
      <c r="G655">
        <f>IF(AND(D655&lt;&gt;"",E655&lt;&gt;""),D655*E655+IF(ISBLANK(F655),0,F655),"")</f>
        <v/>
      </c>
    </row>
    <row r="656">
      <c r="G656">
        <f>IF(AND(D656&lt;&gt;"",E656&lt;&gt;""),D656*E656+IF(ISBLANK(F656),0,F656),"")</f>
        <v/>
      </c>
    </row>
    <row r="657">
      <c r="G657">
        <f>IF(AND(D657&lt;&gt;"",E657&lt;&gt;""),D657*E657+IF(ISBLANK(F657),0,F657),"")</f>
        <v/>
      </c>
    </row>
    <row r="658">
      <c r="G658">
        <f>IF(AND(D658&lt;&gt;"",E658&lt;&gt;""),D658*E658+IF(ISBLANK(F658),0,F658),"")</f>
        <v/>
      </c>
    </row>
    <row r="659">
      <c r="G659">
        <f>IF(AND(D659&lt;&gt;"",E659&lt;&gt;""),D659*E659+IF(ISBLANK(F659),0,F659),"")</f>
        <v/>
      </c>
    </row>
    <row r="660">
      <c r="G660">
        <f>IF(AND(D660&lt;&gt;"",E660&lt;&gt;""),D660*E660+IF(ISBLANK(F660),0,F660),"")</f>
        <v/>
      </c>
    </row>
    <row r="661">
      <c r="G661">
        <f>IF(AND(D661&lt;&gt;"",E661&lt;&gt;""),D661*E661+IF(ISBLANK(F661),0,F661),"")</f>
        <v/>
      </c>
    </row>
    <row r="662">
      <c r="G662">
        <f>IF(AND(D662&lt;&gt;"",E662&lt;&gt;""),D662*E662+IF(ISBLANK(F662),0,F662),"")</f>
        <v/>
      </c>
    </row>
    <row r="663">
      <c r="G663">
        <f>IF(AND(D663&lt;&gt;"",E663&lt;&gt;""),D663*E663+IF(ISBLANK(F663),0,F663),"")</f>
        <v/>
      </c>
    </row>
    <row r="664">
      <c r="G664">
        <f>IF(AND(D664&lt;&gt;"",E664&lt;&gt;""),D664*E664+IF(ISBLANK(F664),0,F664),"")</f>
        <v/>
      </c>
    </row>
    <row r="665">
      <c r="G665">
        <f>IF(AND(D665&lt;&gt;"",E665&lt;&gt;""),D665*E665+IF(ISBLANK(F665),0,F665),"")</f>
        <v/>
      </c>
    </row>
    <row r="666">
      <c r="G666">
        <f>IF(AND(D666&lt;&gt;"",E666&lt;&gt;""),D666*E666+IF(ISBLANK(F666),0,F666),"")</f>
        <v/>
      </c>
    </row>
    <row r="667">
      <c r="G667">
        <f>IF(AND(D667&lt;&gt;"",E667&lt;&gt;""),D667*E667+IF(ISBLANK(F667),0,F667),"")</f>
        <v/>
      </c>
    </row>
    <row r="668">
      <c r="G668">
        <f>IF(AND(D668&lt;&gt;"",E668&lt;&gt;""),D668*E668+IF(ISBLANK(F668),0,F668),"")</f>
        <v/>
      </c>
    </row>
    <row r="669">
      <c r="G669">
        <f>IF(AND(D669&lt;&gt;"",E669&lt;&gt;""),D669*E669+IF(ISBLANK(F669),0,F669),"")</f>
        <v/>
      </c>
    </row>
    <row r="670">
      <c r="G670">
        <f>IF(AND(D670&lt;&gt;"",E670&lt;&gt;""),D670*E670+IF(ISBLANK(F670),0,F670),"")</f>
        <v/>
      </c>
    </row>
    <row r="671">
      <c r="G671">
        <f>IF(AND(D671&lt;&gt;"",E671&lt;&gt;""),D671*E671+IF(ISBLANK(F671),0,F671),"")</f>
        <v/>
      </c>
    </row>
    <row r="672">
      <c r="G672">
        <f>IF(AND(D672&lt;&gt;"",E672&lt;&gt;""),D672*E672+IF(ISBLANK(F672),0,F672),"")</f>
        <v/>
      </c>
    </row>
    <row r="673">
      <c r="G673">
        <f>IF(AND(D673&lt;&gt;"",E673&lt;&gt;""),D673*E673+IF(ISBLANK(F673),0,F673),"")</f>
        <v/>
      </c>
    </row>
    <row r="674">
      <c r="G674">
        <f>IF(AND(D674&lt;&gt;"",E674&lt;&gt;""),D674*E674+IF(ISBLANK(F674),0,F674),"")</f>
        <v/>
      </c>
    </row>
    <row r="675">
      <c r="G675">
        <f>IF(AND(D675&lt;&gt;"",E675&lt;&gt;""),D675*E675+IF(ISBLANK(F675),0,F675),"")</f>
        <v/>
      </c>
    </row>
    <row r="676">
      <c r="G676">
        <f>IF(AND(D676&lt;&gt;"",E676&lt;&gt;""),D676*E676+IF(ISBLANK(F676),0,F676),"")</f>
        <v/>
      </c>
    </row>
    <row r="677">
      <c r="G677">
        <f>IF(AND(D677&lt;&gt;"",E677&lt;&gt;""),D677*E677+IF(ISBLANK(F677),0,F677),"")</f>
        <v/>
      </c>
    </row>
    <row r="678">
      <c r="G678">
        <f>IF(AND(D678&lt;&gt;"",E678&lt;&gt;""),D678*E678+IF(ISBLANK(F678),0,F678),"")</f>
        <v/>
      </c>
    </row>
    <row r="679">
      <c r="G679">
        <f>IF(AND(D679&lt;&gt;"",E679&lt;&gt;""),D679*E679+IF(ISBLANK(F679),0,F679),"")</f>
        <v/>
      </c>
    </row>
    <row r="680">
      <c r="G680">
        <f>IF(AND(D680&lt;&gt;"",E680&lt;&gt;""),D680*E680+IF(ISBLANK(F680),0,F680),"")</f>
        <v/>
      </c>
    </row>
    <row r="681">
      <c r="G681">
        <f>IF(AND(D681&lt;&gt;"",E681&lt;&gt;""),D681*E681+IF(ISBLANK(F681),0,F681),"")</f>
        <v/>
      </c>
    </row>
    <row r="682">
      <c r="G682">
        <f>IF(AND(D682&lt;&gt;"",E682&lt;&gt;""),D682*E682+IF(ISBLANK(F682),0,F682),"")</f>
        <v/>
      </c>
    </row>
    <row r="683">
      <c r="G683">
        <f>IF(AND(D683&lt;&gt;"",E683&lt;&gt;""),D683*E683+IF(ISBLANK(F683),0,F683),"")</f>
        <v/>
      </c>
    </row>
    <row r="684">
      <c r="G684">
        <f>IF(AND(D684&lt;&gt;"",E684&lt;&gt;""),D684*E684+IF(ISBLANK(F684),0,F684),"")</f>
        <v/>
      </c>
    </row>
    <row r="685">
      <c r="G685">
        <f>IF(AND(D685&lt;&gt;"",E685&lt;&gt;""),D685*E685+IF(ISBLANK(F685),0,F685),"")</f>
        <v/>
      </c>
    </row>
    <row r="686">
      <c r="G686">
        <f>IF(AND(D686&lt;&gt;"",E686&lt;&gt;""),D686*E686+IF(ISBLANK(F686),0,F686),"")</f>
        <v/>
      </c>
    </row>
    <row r="687">
      <c r="G687">
        <f>IF(AND(D687&lt;&gt;"",E687&lt;&gt;""),D687*E687+IF(ISBLANK(F687),0,F687),"")</f>
        <v/>
      </c>
    </row>
    <row r="688">
      <c r="G688">
        <f>IF(AND(D688&lt;&gt;"",E688&lt;&gt;""),D688*E688+IF(ISBLANK(F688),0,F688),"")</f>
        <v/>
      </c>
    </row>
    <row r="689">
      <c r="G689">
        <f>IF(AND(D689&lt;&gt;"",E689&lt;&gt;""),D689*E689+IF(ISBLANK(F689),0,F689),"")</f>
        <v/>
      </c>
    </row>
    <row r="690">
      <c r="G690">
        <f>IF(AND(D690&lt;&gt;"",E690&lt;&gt;""),D690*E690+IF(ISBLANK(F690),0,F690),"")</f>
        <v/>
      </c>
    </row>
    <row r="691">
      <c r="G691">
        <f>IF(AND(D691&lt;&gt;"",E691&lt;&gt;""),D691*E691+IF(ISBLANK(F691),0,F691),"")</f>
        <v/>
      </c>
    </row>
    <row r="692">
      <c r="G692">
        <f>IF(AND(D692&lt;&gt;"",E692&lt;&gt;""),D692*E692+IF(ISBLANK(F692),0,F692),"")</f>
        <v/>
      </c>
    </row>
    <row r="693">
      <c r="G693">
        <f>IF(AND(D693&lt;&gt;"",E693&lt;&gt;""),D693*E693+IF(ISBLANK(F693),0,F693),"")</f>
        <v/>
      </c>
    </row>
    <row r="694">
      <c r="G694">
        <f>IF(AND(D694&lt;&gt;"",E694&lt;&gt;""),D694*E694+IF(ISBLANK(F694),0,F694),"")</f>
        <v/>
      </c>
    </row>
    <row r="695">
      <c r="G695">
        <f>IF(AND(D695&lt;&gt;"",E695&lt;&gt;""),D695*E695+IF(ISBLANK(F695),0,F695),"")</f>
        <v/>
      </c>
    </row>
    <row r="696">
      <c r="G696">
        <f>IF(AND(D696&lt;&gt;"",E696&lt;&gt;""),D696*E696+IF(ISBLANK(F696),0,F696),"")</f>
        <v/>
      </c>
    </row>
    <row r="697">
      <c r="G697">
        <f>IF(AND(D697&lt;&gt;"",E697&lt;&gt;""),D697*E697+IF(ISBLANK(F697),0,F697),"")</f>
        <v/>
      </c>
    </row>
    <row r="698">
      <c r="G698">
        <f>IF(AND(D698&lt;&gt;"",E698&lt;&gt;""),D698*E698+IF(ISBLANK(F698),0,F698),"")</f>
        <v/>
      </c>
    </row>
    <row r="699">
      <c r="G699">
        <f>IF(AND(D699&lt;&gt;"",E699&lt;&gt;""),D699*E699+IF(ISBLANK(F699),0,F699),"")</f>
        <v/>
      </c>
    </row>
    <row r="700">
      <c r="G700">
        <f>IF(AND(D700&lt;&gt;"",E700&lt;&gt;""),D700*E700+IF(ISBLANK(F700),0,F700),"")</f>
        <v/>
      </c>
    </row>
    <row r="701">
      <c r="G701">
        <f>IF(AND(D701&lt;&gt;"",E701&lt;&gt;""),D701*E701+IF(ISBLANK(F701),0,F701),"")</f>
        <v/>
      </c>
    </row>
    <row r="702">
      <c r="G702">
        <f>IF(AND(D702&lt;&gt;"",E702&lt;&gt;""),D702*E702+IF(ISBLANK(F702),0,F702),"")</f>
        <v/>
      </c>
    </row>
    <row r="703">
      <c r="G703">
        <f>IF(AND(D703&lt;&gt;"",E703&lt;&gt;""),D703*E703+IF(ISBLANK(F703),0,F703),"")</f>
        <v/>
      </c>
    </row>
    <row r="704">
      <c r="G704">
        <f>IF(AND(D704&lt;&gt;"",E704&lt;&gt;""),D704*E704+IF(ISBLANK(F704),0,F704),"")</f>
        <v/>
      </c>
    </row>
    <row r="705">
      <c r="G705">
        <f>IF(AND(D705&lt;&gt;"",E705&lt;&gt;""),D705*E705+IF(ISBLANK(F705),0,F705),"")</f>
        <v/>
      </c>
    </row>
    <row r="706">
      <c r="G706">
        <f>IF(AND(D706&lt;&gt;"",E706&lt;&gt;""),D706*E706+IF(ISBLANK(F706),0,F706),"")</f>
        <v/>
      </c>
    </row>
    <row r="707">
      <c r="G707">
        <f>IF(AND(D707&lt;&gt;"",E707&lt;&gt;""),D707*E707+IF(ISBLANK(F707),0,F707),"")</f>
        <v/>
      </c>
    </row>
    <row r="708">
      <c r="G708">
        <f>IF(AND(D708&lt;&gt;"",E708&lt;&gt;""),D708*E708+IF(ISBLANK(F708),0,F708),"")</f>
        <v/>
      </c>
    </row>
    <row r="709">
      <c r="G709">
        <f>IF(AND(D709&lt;&gt;"",E709&lt;&gt;""),D709*E709+IF(ISBLANK(F709),0,F709),"")</f>
        <v/>
      </c>
    </row>
    <row r="710">
      <c r="G710">
        <f>IF(AND(D710&lt;&gt;"",E710&lt;&gt;""),D710*E710+IF(ISBLANK(F710),0,F710),"")</f>
        <v/>
      </c>
    </row>
    <row r="711">
      <c r="G711">
        <f>IF(AND(D711&lt;&gt;"",E711&lt;&gt;""),D711*E711+IF(ISBLANK(F711),0,F711),"")</f>
        <v/>
      </c>
    </row>
    <row r="712">
      <c r="G712">
        <f>IF(AND(D712&lt;&gt;"",E712&lt;&gt;""),D712*E712+IF(ISBLANK(F712),0,F712),"")</f>
        <v/>
      </c>
    </row>
    <row r="713">
      <c r="G713">
        <f>IF(AND(D713&lt;&gt;"",E713&lt;&gt;""),D713*E713+IF(ISBLANK(F713),0,F713),"")</f>
        <v/>
      </c>
    </row>
    <row r="714">
      <c r="G714">
        <f>IF(AND(D714&lt;&gt;"",E714&lt;&gt;""),D714*E714+IF(ISBLANK(F714),0,F714),"")</f>
        <v/>
      </c>
    </row>
    <row r="715">
      <c r="G715">
        <f>IF(AND(D715&lt;&gt;"",E715&lt;&gt;""),D715*E715+IF(ISBLANK(F715),0,F715),"")</f>
        <v/>
      </c>
    </row>
    <row r="716">
      <c r="G716">
        <f>IF(AND(D716&lt;&gt;"",E716&lt;&gt;""),D716*E716+IF(ISBLANK(F716),0,F716),"")</f>
        <v/>
      </c>
    </row>
    <row r="717">
      <c r="G717">
        <f>IF(AND(D717&lt;&gt;"",E717&lt;&gt;""),D717*E717+IF(ISBLANK(F717),0,F717),"")</f>
        <v/>
      </c>
    </row>
    <row r="718">
      <c r="G718">
        <f>IF(AND(D718&lt;&gt;"",E718&lt;&gt;""),D718*E718+IF(ISBLANK(F718),0,F718),"")</f>
        <v/>
      </c>
    </row>
    <row r="719">
      <c r="G719">
        <f>IF(AND(D719&lt;&gt;"",E719&lt;&gt;""),D719*E719+IF(ISBLANK(F719),0,F719),"")</f>
        <v/>
      </c>
    </row>
    <row r="720">
      <c r="G720">
        <f>IF(AND(D720&lt;&gt;"",E720&lt;&gt;""),D720*E720+IF(ISBLANK(F720),0,F720),"")</f>
        <v/>
      </c>
    </row>
    <row r="721">
      <c r="G721">
        <f>IF(AND(D721&lt;&gt;"",E721&lt;&gt;""),D721*E721+IF(ISBLANK(F721),0,F721),"")</f>
        <v/>
      </c>
    </row>
    <row r="722">
      <c r="G722">
        <f>IF(AND(D722&lt;&gt;"",E722&lt;&gt;""),D722*E722+IF(ISBLANK(F722),0,F722),"")</f>
        <v/>
      </c>
    </row>
    <row r="723">
      <c r="G723">
        <f>IF(AND(D723&lt;&gt;"",E723&lt;&gt;""),D723*E723+IF(ISBLANK(F723),0,F723),"")</f>
        <v/>
      </c>
    </row>
    <row r="724">
      <c r="G724">
        <f>IF(AND(D724&lt;&gt;"",E724&lt;&gt;""),D724*E724+IF(ISBLANK(F724),0,F724),"")</f>
        <v/>
      </c>
    </row>
    <row r="725">
      <c r="G725">
        <f>IF(AND(D725&lt;&gt;"",E725&lt;&gt;""),D725*E725+IF(ISBLANK(F725),0,F725),"")</f>
        <v/>
      </c>
    </row>
    <row r="726">
      <c r="G726">
        <f>IF(AND(D726&lt;&gt;"",E726&lt;&gt;""),D726*E726+IF(ISBLANK(F726),0,F726),"")</f>
        <v/>
      </c>
    </row>
    <row r="727">
      <c r="G727">
        <f>IF(AND(D727&lt;&gt;"",E727&lt;&gt;""),D727*E727+IF(ISBLANK(F727),0,F727),"")</f>
        <v/>
      </c>
    </row>
    <row r="728">
      <c r="G728">
        <f>IF(AND(D728&lt;&gt;"",E728&lt;&gt;""),D728*E728+IF(ISBLANK(F728),0,F728),"")</f>
        <v/>
      </c>
    </row>
    <row r="729">
      <c r="G729">
        <f>IF(AND(D729&lt;&gt;"",E729&lt;&gt;""),D729*E729+IF(ISBLANK(F729),0,F729),"")</f>
        <v/>
      </c>
    </row>
    <row r="730">
      <c r="G730">
        <f>IF(AND(D730&lt;&gt;"",E730&lt;&gt;""),D730*E730+IF(ISBLANK(F730),0,F730),"")</f>
        <v/>
      </c>
    </row>
    <row r="731">
      <c r="G731">
        <f>IF(AND(D731&lt;&gt;"",E731&lt;&gt;""),D731*E731+IF(ISBLANK(F731),0,F731),"")</f>
        <v/>
      </c>
    </row>
    <row r="732">
      <c r="G732">
        <f>IF(AND(D732&lt;&gt;"",E732&lt;&gt;""),D732*E732+IF(ISBLANK(F732),0,F732),"")</f>
        <v/>
      </c>
    </row>
    <row r="733">
      <c r="G733">
        <f>IF(AND(D733&lt;&gt;"",E733&lt;&gt;""),D733*E733+IF(ISBLANK(F733),0,F733),"")</f>
        <v/>
      </c>
    </row>
    <row r="734">
      <c r="G734">
        <f>IF(AND(D734&lt;&gt;"",E734&lt;&gt;""),D734*E734+IF(ISBLANK(F734),0,F734),"")</f>
        <v/>
      </c>
    </row>
    <row r="735">
      <c r="G735">
        <f>IF(AND(D735&lt;&gt;"",E735&lt;&gt;""),D735*E735+IF(ISBLANK(F735),0,F735),"")</f>
        <v/>
      </c>
    </row>
    <row r="736">
      <c r="G736">
        <f>IF(AND(D736&lt;&gt;"",E736&lt;&gt;""),D736*E736+IF(ISBLANK(F736),0,F736),"")</f>
        <v/>
      </c>
    </row>
    <row r="737">
      <c r="G737">
        <f>IF(AND(D737&lt;&gt;"",E737&lt;&gt;""),D737*E737+IF(ISBLANK(F737),0,F737),"")</f>
        <v/>
      </c>
    </row>
    <row r="738">
      <c r="G738">
        <f>IF(AND(D738&lt;&gt;"",E738&lt;&gt;""),D738*E738+IF(ISBLANK(F738),0,F738),"")</f>
        <v/>
      </c>
    </row>
    <row r="739">
      <c r="G739">
        <f>IF(AND(D739&lt;&gt;"",E739&lt;&gt;""),D739*E739+IF(ISBLANK(F739),0,F739),"")</f>
        <v/>
      </c>
    </row>
    <row r="740">
      <c r="G740">
        <f>IF(AND(D740&lt;&gt;"",E740&lt;&gt;""),D740*E740+IF(ISBLANK(F740),0,F740),"")</f>
        <v/>
      </c>
    </row>
    <row r="741">
      <c r="G741">
        <f>IF(AND(D741&lt;&gt;"",E741&lt;&gt;""),D741*E741+IF(ISBLANK(F741),0,F741),"")</f>
        <v/>
      </c>
    </row>
    <row r="742">
      <c r="G742">
        <f>IF(AND(D742&lt;&gt;"",E742&lt;&gt;""),D742*E742+IF(ISBLANK(F742),0,F742),"")</f>
        <v/>
      </c>
    </row>
    <row r="743">
      <c r="G743">
        <f>IF(AND(D743&lt;&gt;"",E743&lt;&gt;""),D743*E743+IF(ISBLANK(F743),0,F743),"")</f>
        <v/>
      </c>
    </row>
    <row r="744">
      <c r="G744">
        <f>IF(AND(D744&lt;&gt;"",E744&lt;&gt;""),D744*E744+IF(ISBLANK(F744),0,F744),"")</f>
        <v/>
      </c>
    </row>
    <row r="745">
      <c r="G745">
        <f>IF(AND(D745&lt;&gt;"",E745&lt;&gt;""),D745*E745+IF(ISBLANK(F745),0,F745),"")</f>
        <v/>
      </c>
    </row>
    <row r="746">
      <c r="G746">
        <f>IF(AND(D746&lt;&gt;"",E746&lt;&gt;""),D746*E746+IF(ISBLANK(F746),0,F746),"")</f>
        <v/>
      </c>
    </row>
    <row r="747">
      <c r="G747">
        <f>IF(AND(D747&lt;&gt;"",E747&lt;&gt;""),D747*E747+IF(ISBLANK(F747),0,F747),"")</f>
        <v/>
      </c>
    </row>
    <row r="748">
      <c r="G748">
        <f>IF(AND(D748&lt;&gt;"",E748&lt;&gt;""),D748*E748+IF(ISBLANK(F748),0,F748),"")</f>
        <v/>
      </c>
    </row>
    <row r="749">
      <c r="G749">
        <f>IF(AND(D749&lt;&gt;"",E749&lt;&gt;""),D749*E749+IF(ISBLANK(F749),0,F749),"")</f>
        <v/>
      </c>
    </row>
    <row r="750">
      <c r="G750">
        <f>IF(AND(D750&lt;&gt;"",E750&lt;&gt;""),D750*E750+IF(ISBLANK(F750),0,F750),"")</f>
        <v/>
      </c>
    </row>
    <row r="751">
      <c r="G751">
        <f>IF(AND(D751&lt;&gt;"",E751&lt;&gt;""),D751*E751+IF(ISBLANK(F751),0,F751),"")</f>
        <v/>
      </c>
    </row>
    <row r="752">
      <c r="G752">
        <f>IF(AND(D752&lt;&gt;"",E752&lt;&gt;""),D752*E752+IF(ISBLANK(F752),0,F752),"")</f>
        <v/>
      </c>
    </row>
    <row r="753">
      <c r="G753">
        <f>IF(AND(D753&lt;&gt;"",E753&lt;&gt;""),D753*E753+IF(ISBLANK(F753),0,F753),"")</f>
        <v/>
      </c>
    </row>
    <row r="754">
      <c r="G754">
        <f>IF(AND(D754&lt;&gt;"",E754&lt;&gt;""),D754*E754+IF(ISBLANK(F754),0,F754),"")</f>
        <v/>
      </c>
    </row>
    <row r="755">
      <c r="G755">
        <f>IF(AND(D755&lt;&gt;"",E755&lt;&gt;""),D755*E755+IF(ISBLANK(F755),0,F755),"")</f>
        <v/>
      </c>
    </row>
    <row r="756">
      <c r="G756">
        <f>IF(AND(D756&lt;&gt;"",E756&lt;&gt;""),D756*E756+IF(ISBLANK(F756),0,F756),"")</f>
        <v/>
      </c>
    </row>
    <row r="757">
      <c r="G757">
        <f>IF(AND(D757&lt;&gt;"",E757&lt;&gt;""),D757*E757+IF(ISBLANK(F757),0,F757),"")</f>
        <v/>
      </c>
    </row>
    <row r="758">
      <c r="G758">
        <f>IF(AND(D758&lt;&gt;"",E758&lt;&gt;""),D758*E758+IF(ISBLANK(F758),0,F758),"")</f>
        <v/>
      </c>
    </row>
    <row r="759">
      <c r="G759">
        <f>IF(AND(D759&lt;&gt;"",E759&lt;&gt;""),D759*E759+IF(ISBLANK(F759),0,F759),"")</f>
        <v/>
      </c>
    </row>
    <row r="760">
      <c r="G760">
        <f>IF(AND(D760&lt;&gt;"",E760&lt;&gt;""),D760*E760+IF(ISBLANK(F760),0,F760),"")</f>
        <v/>
      </c>
    </row>
    <row r="761">
      <c r="G761">
        <f>IF(AND(D761&lt;&gt;"",E761&lt;&gt;""),D761*E761+IF(ISBLANK(F761),0,F761),"")</f>
        <v/>
      </c>
    </row>
    <row r="762">
      <c r="G762">
        <f>IF(AND(D762&lt;&gt;"",E762&lt;&gt;""),D762*E762+IF(ISBLANK(F762),0,F762),"")</f>
        <v/>
      </c>
    </row>
    <row r="763">
      <c r="G763">
        <f>IF(AND(D763&lt;&gt;"",E763&lt;&gt;""),D763*E763+IF(ISBLANK(F763),0,F763),"")</f>
        <v/>
      </c>
    </row>
    <row r="764">
      <c r="G764">
        <f>IF(AND(D764&lt;&gt;"",E764&lt;&gt;""),D764*E764+IF(ISBLANK(F764),0,F764),"")</f>
        <v/>
      </c>
    </row>
    <row r="765">
      <c r="G765">
        <f>IF(AND(D765&lt;&gt;"",E765&lt;&gt;""),D765*E765+IF(ISBLANK(F765),0,F765),"")</f>
        <v/>
      </c>
    </row>
    <row r="766">
      <c r="G766">
        <f>IF(AND(D766&lt;&gt;"",E766&lt;&gt;""),D766*E766+IF(ISBLANK(F766),0,F766),"")</f>
        <v/>
      </c>
    </row>
    <row r="767">
      <c r="G767">
        <f>IF(AND(D767&lt;&gt;"",E767&lt;&gt;""),D767*E767+IF(ISBLANK(F767),0,F767),"")</f>
        <v/>
      </c>
    </row>
    <row r="768">
      <c r="G768">
        <f>IF(AND(D768&lt;&gt;"",E768&lt;&gt;""),D768*E768+IF(ISBLANK(F768),0,F768),"")</f>
        <v/>
      </c>
    </row>
    <row r="769">
      <c r="G769">
        <f>IF(AND(D769&lt;&gt;"",E769&lt;&gt;""),D769*E769+IF(ISBLANK(F769),0,F769),"")</f>
        <v/>
      </c>
    </row>
    <row r="770">
      <c r="G770">
        <f>IF(AND(D770&lt;&gt;"",E770&lt;&gt;""),D770*E770+IF(ISBLANK(F770),0,F770),"")</f>
        <v/>
      </c>
    </row>
    <row r="771">
      <c r="G771">
        <f>IF(AND(D771&lt;&gt;"",E771&lt;&gt;""),D771*E771+IF(ISBLANK(F771),0,F771),"")</f>
        <v/>
      </c>
    </row>
    <row r="772">
      <c r="G772">
        <f>IF(AND(D772&lt;&gt;"",E772&lt;&gt;""),D772*E772+IF(ISBLANK(F772),0,F772),"")</f>
        <v/>
      </c>
    </row>
    <row r="773">
      <c r="G773">
        <f>IF(AND(D773&lt;&gt;"",E773&lt;&gt;""),D773*E773+IF(ISBLANK(F773),0,F773),"")</f>
        <v/>
      </c>
    </row>
    <row r="774">
      <c r="G774">
        <f>IF(AND(D774&lt;&gt;"",E774&lt;&gt;""),D774*E774+IF(ISBLANK(F774),0,F774),"")</f>
        <v/>
      </c>
    </row>
    <row r="775">
      <c r="G775">
        <f>IF(AND(D775&lt;&gt;"",E775&lt;&gt;""),D775*E775+IF(ISBLANK(F775),0,F775),"")</f>
        <v/>
      </c>
    </row>
    <row r="776">
      <c r="G776">
        <f>IF(AND(D776&lt;&gt;"",E776&lt;&gt;""),D776*E776+IF(ISBLANK(F776),0,F776),"")</f>
        <v/>
      </c>
    </row>
    <row r="777">
      <c r="G777">
        <f>IF(AND(D777&lt;&gt;"",E777&lt;&gt;""),D777*E777+IF(ISBLANK(F777),0,F777),"")</f>
        <v/>
      </c>
    </row>
    <row r="778">
      <c r="G778">
        <f>IF(AND(D778&lt;&gt;"",E778&lt;&gt;""),D778*E778+IF(ISBLANK(F778),0,F778),"")</f>
        <v/>
      </c>
    </row>
    <row r="779">
      <c r="G779">
        <f>IF(AND(D779&lt;&gt;"",E779&lt;&gt;""),D779*E779+IF(ISBLANK(F779),0,F779),"")</f>
        <v/>
      </c>
    </row>
    <row r="780">
      <c r="G780">
        <f>IF(AND(D780&lt;&gt;"",E780&lt;&gt;""),D780*E780+IF(ISBLANK(F780),0,F780),"")</f>
        <v/>
      </c>
    </row>
    <row r="781">
      <c r="G781">
        <f>IF(AND(D781&lt;&gt;"",E781&lt;&gt;""),D781*E781+IF(ISBLANK(F781),0,F781),"")</f>
        <v/>
      </c>
    </row>
    <row r="782">
      <c r="G782">
        <f>IF(AND(D782&lt;&gt;"",E782&lt;&gt;""),D782*E782+IF(ISBLANK(F782),0,F782),"")</f>
        <v/>
      </c>
    </row>
    <row r="783">
      <c r="G783">
        <f>IF(AND(D783&lt;&gt;"",E783&lt;&gt;""),D783*E783+IF(ISBLANK(F783),0,F783),"")</f>
        <v/>
      </c>
    </row>
    <row r="784">
      <c r="G784">
        <f>IF(AND(D784&lt;&gt;"",E784&lt;&gt;""),D784*E784+IF(ISBLANK(F784),0,F784),"")</f>
        <v/>
      </c>
    </row>
    <row r="785">
      <c r="G785">
        <f>IF(AND(D785&lt;&gt;"",E785&lt;&gt;""),D785*E785+IF(ISBLANK(F785),0,F785),"")</f>
        <v/>
      </c>
    </row>
    <row r="786">
      <c r="G786">
        <f>IF(AND(D786&lt;&gt;"",E786&lt;&gt;""),D786*E786+IF(ISBLANK(F786),0,F786),"")</f>
        <v/>
      </c>
    </row>
    <row r="787">
      <c r="G787">
        <f>IF(AND(D787&lt;&gt;"",E787&lt;&gt;""),D787*E787+IF(ISBLANK(F787),0,F787),"")</f>
        <v/>
      </c>
    </row>
    <row r="788">
      <c r="G788">
        <f>IF(AND(D788&lt;&gt;"",E788&lt;&gt;""),D788*E788+IF(ISBLANK(F788),0,F788),"")</f>
        <v/>
      </c>
    </row>
    <row r="789">
      <c r="G789">
        <f>IF(AND(D789&lt;&gt;"",E789&lt;&gt;""),D789*E789+IF(ISBLANK(F789),0,F789),"")</f>
        <v/>
      </c>
    </row>
    <row r="790">
      <c r="G790">
        <f>IF(AND(D790&lt;&gt;"",E790&lt;&gt;""),D790*E790+IF(ISBLANK(F790),0,F790),"")</f>
        <v/>
      </c>
    </row>
    <row r="791">
      <c r="G791">
        <f>IF(AND(D791&lt;&gt;"",E791&lt;&gt;""),D791*E791+IF(ISBLANK(F791),0,F791),"")</f>
        <v/>
      </c>
    </row>
    <row r="792">
      <c r="G792">
        <f>IF(AND(D792&lt;&gt;"",E792&lt;&gt;""),D792*E792+IF(ISBLANK(F792),0,F792),"")</f>
        <v/>
      </c>
    </row>
    <row r="793">
      <c r="G793">
        <f>IF(AND(D793&lt;&gt;"",E793&lt;&gt;""),D793*E793+IF(ISBLANK(F793),0,F793),"")</f>
        <v/>
      </c>
    </row>
    <row r="794">
      <c r="G794">
        <f>IF(AND(D794&lt;&gt;"",E794&lt;&gt;""),D794*E794+IF(ISBLANK(F794),0,F794),"")</f>
        <v/>
      </c>
    </row>
    <row r="795">
      <c r="G795">
        <f>IF(AND(D795&lt;&gt;"",E795&lt;&gt;""),D795*E795+IF(ISBLANK(F795),0,F795),"")</f>
        <v/>
      </c>
    </row>
    <row r="796">
      <c r="G796">
        <f>IF(AND(D796&lt;&gt;"",E796&lt;&gt;""),D796*E796+IF(ISBLANK(F796),0,F796),"")</f>
        <v/>
      </c>
    </row>
    <row r="797">
      <c r="G797">
        <f>IF(AND(D797&lt;&gt;"",E797&lt;&gt;""),D797*E797+IF(ISBLANK(F797),0,F797),"")</f>
        <v/>
      </c>
    </row>
    <row r="798">
      <c r="G798">
        <f>IF(AND(D798&lt;&gt;"",E798&lt;&gt;""),D798*E798+IF(ISBLANK(F798),0,F798),"")</f>
        <v/>
      </c>
    </row>
    <row r="799">
      <c r="G799">
        <f>IF(AND(D799&lt;&gt;"",E799&lt;&gt;""),D799*E799+IF(ISBLANK(F799),0,F799),"")</f>
        <v/>
      </c>
    </row>
    <row r="800">
      <c r="G800">
        <f>IF(AND(D800&lt;&gt;"",E800&lt;&gt;""),D800*E800+IF(ISBLANK(F800),0,F800),"")</f>
        <v/>
      </c>
    </row>
    <row r="801">
      <c r="G801">
        <f>IF(AND(D801&lt;&gt;"",E801&lt;&gt;""),D801*E801+IF(ISBLANK(F801),0,F801),"")</f>
        <v/>
      </c>
    </row>
    <row r="802">
      <c r="G802">
        <f>IF(AND(D802&lt;&gt;"",E802&lt;&gt;""),D802*E802+IF(ISBLANK(F802),0,F802),"")</f>
        <v/>
      </c>
    </row>
    <row r="803">
      <c r="G803">
        <f>IF(AND(D803&lt;&gt;"",E803&lt;&gt;""),D803*E803+IF(ISBLANK(F803),0,F803),"")</f>
        <v/>
      </c>
    </row>
    <row r="804">
      <c r="G804">
        <f>IF(AND(D804&lt;&gt;"",E804&lt;&gt;""),D804*E804+IF(ISBLANK(F804),0,F804),"")</f>
        <v/>
      </c>
    </row>
    <row r="805">
      <c r="G805">
        <f>IF(AND(D805&lt;&gt;"",E805&lt;&gt;""),D805*E805+IF(ISBLANK(F805),0,F805),"")</f>
        <v/>
      </c>
    </row>
    <row r="806">
      <c r="G806">
        <f>IF(AND(D806&lt;&gt;"",E806&lt;&gt;""),D806*E806+IF(ISBLANK(F806),0,F806),"")</f>
        <v/>
      </c>
    </row>
    <row r="807">
      <c r="G807">
        <f>IF(AND(D807&lt;&gt;"",E807&lt;&gt;""),D807*E807+IF(ISBLANK(F807),0,F807),"")</f>
        <v/>
      </c>
    </row>
    <row r="808">
      <c r="G808">
        <f>IF(AND(D808&lt;&gt;"",E808&lt;&gt;""),D808*E808+IF(ISBLANK(F808),0,F808),"")</f>
        <v/>
      </c>
    </row>
    <row r="809">
      <c r="G809">
        <f>IF(AND(D809&lt;&gt;"",E809&lt;&gt;""),D809*E809+IF(ISBLANK(F809),0,F809),"")</f>
        <v/>
      </c>
    </row>
    <row r="810">
      <c r="G810">
        <f>IF(AND(D810&lt;&gt;"",E810&lt;&gt;""),D810*E810+IF(ISBLANK(F810),0,F810),"")</f>
        <v/>
      </c>
    </row>
    <row r="811">
      <c r="G811">
        <f>IF(AND(D811&lt;&gt;"",E811&lt;&gt;""),D811*E811+IF(ISBLANK(F811),0,F811),"")</f>
        <v/>
      </c>
    </row>
    <row r="812">
      <c r="G812">
        <f>IF(AND(D812&lt;&gt;"",E812&lt;&gt;""),D812*E812+IF(ISBLANK(F812),0,F812),"")</f>
        <v/>
      </c>
    </row>
    <row r="813">
      <c r="G813">
        <f>IF(AND(D813&lt;&gt;"",E813&lt;&gt;""),D813*E813+IF(ISBLANK(F813),0,F813),"")</f>
        <v/>
      </c>
    </row>
    <row r="814">
      <c r="G814">
        <f>IF(AND(D814&lt;&gt;"",E814&lt;&gt;""),D814*E814+IF(ISBLANK(F814),0,F814),"")</f>
        <v/>
      </c>
    </row>
    <row r="815">
      <c r="G815">
        <f>IF(AND(D815&lt;&gt;"",E815&lt;&gt;""),D815*E815+IF(ISBLANK(F815),0,F815),"")</f>
        <v/>
      </c>
    </row>
    <row r="816">
      <c r="G816">
        <f>IF(AND(D816&lt;&gt;"",E816&lt;&gt;""),D816*E816+IF(ISBLANK(F816),0,F816),"")</f>
        <v/>
      </c>
    </row>
    <row r="817">
      <c r="G817">
        <f>IF(AND(D817&lt;&gt;"",E817&lt;&gt;""),D817*E817+IF(ISBLANK(F817),0,F817),"")</f>
        <v/>
      </c>
    </row>
    <row r="818">
      <c r="G818">
        <f>IF(AND(D818&lt;&gt;"",E818&lt;&gt;""),D818*E818+IF(ISBLANK(F818),0,F818),"")</f>
        <v/>
      </c>
    </row>
    <row r="819">
      <c r="G819">
        <f>IF(AND(D819&lt;&gt;"",E819&lt;&gt;""),D819*E819+IF(ISBLANK(F819),0,F819),"")</f>
        <v/>
      </c>
    </row>
    <row r="820">
      <c r="G820">
        <f>IF(AND(D820&lt;&gt;"",E820&lt;&gt;""),D820*E820+IF(ISBLANK(F820),0,F820),"")</f>
        <v/>
      </c>
    </row>
    <row r="821">
      <c r="G821">
        <f>IF(AND(D821&lt;&gt;"",E821&lt;&gt;""),D821*E821+IF(ISBLANK(F821),0,F821),"")</f>
        <v/>
      </c>
    </row>
    <row r="822">
      <c r="G822">
        <f>IF(AND(D822&lt;&gt;"",E822&lt;&gt;""),D822*E822+IF(ISBLANK(F822),0,F822),"")</f>
        <v/>
      </c>
    </row>
    <row r="823">
      <c r="G823">
        <f>IF(AND(D823&lt;&gt;"",E823&lt;&gt;""),D823*E823+IF(ISBLANK(F823),0,F823),"")</f>
        <v/>
      </c>
    </row>
    <row r="824">
      <c r="G824">
        <f>IF(AND(D824&lt;&gt;"",E824&lt;&gt;""),D824*E824+IF(ISBLANK(F824),0,F824),"")</f>
        <v/>
      </c>
    </row>
    <row r="825">
      <c r="G825">
        <f>IF(AND(D825&lt;&gt;"",E825&lt;&gt;""),D825*E825+IF(ISBLANK(F825),0,F825),"")</f>
        <v/>
      </c>
    </row>
    <row r="826">
      <c r="G826">
        <f>IF(AND(D826&lt;&gt;"",E826&lt;&gt;""),D826*E826+IF(ISBLANK(F826),0,F826),"")</f>
        <v/>
      </c>
    </row>
    <row r="827">
      <c r="G827">
        <f>IF(AND(D827&lt;&gt;"",E827&lt;&gt;""),D827*E827+IF(ISBLANK(F827),0,F827),"")</f>
        <v/>
      </c>
    </row>
    <row r="828">
      <c r="G828">
        <f>IF(AND(D828&lt;&gt;"",E828&lt;&gt;""),D828*E828+IF(ISBLANK(F828),0,F828),"")</f>
        <v/>
      </c>
    </row>
    <row r="829">
      <c r="G829">
        <f>IF(AND(D829&lt;&gt;"",E829&lt;&gt;""),D829*E829+IF(ISBLANK(F829),0,F829),"")</f>
        <v/>
      </c>
    </row>
    <row r="830">
      <c r="G830">
        <f>IF(AND(D830&lt;&gt;"",E830&lt;&gt;""),D830*E830+IF(ISBLANK(F830),0,F830),"")</f>
        <v/>
      </c>
    </row>
    <row r="831">
      <c r="G831">
        <f>IF(AND(D831&lt;&gt;"",E831&lt;&gt;""),D831*E831+IF(ISBLANK(F831),0,F831),"")</f>
        <v/>
      </c>
    </row>
    <row r="832">
      <c r="G832">
        <f>IF(AND(D832&lt;&gt;"",E832&lt;&gt;""),D832*E832+IF(ISBLANK(F832),0,F832),"")</f>
        <v/>
      </c>
    </row>
    <row r="833">
      <c r="G833">
        <f>IF(AND(D833&lt;&gt;"",E833&lt;&gt;""),D833*E833+IF(ISBLANK(F833),0,F833),"")</f>
        <v/>
      </c>
    </row>
    <row r="834">
      <c r="G834">
        <f>IF(AND(D834&lt;&gt;"",E834&lt;&gt;""),D834*E834+IF(ISBLANK(F834),0,F834),"")</f>
        <v/>
      </c>
    </row>
    <row r="835">
      <c r="G835">
        <f>IF(AND(D835&lt;&gt;"",E835&lt;&gt;""),D835*E835+IF(ISBLANK(F835),0,F835),"")</f>
        <v/>
      </c>
    </row>
    <row r="836">
      <c r="G836">
        <f>IF(AND(D836&lt;&gt;"",E836&lt;&gt;""),D836*E836+IF(ISBLANK(F836),0,F836),"")</f>
        <v/>
      </c>
    </row>
    <row r="837">
      <c r="G837">
        <f>IF(AND(D837&lt;&gt;"",E837&lt;&gt;""),D837*E837+IF(ISBLANK(F837),0,F837),"")</f>
        <v/>
      </c>
    </row>
    <row r="838">
      <c r="G838">
        <f>IF(AND(D838&lt;&gt;"",E838&lt;&gt;""),D838*E838+IF(ISBLANK(F838),0,F838),"")</f>
        <v/>
      </c>
    </row>
    <row r="839">
      <c r="G839">
        <f>IF(AND(D839&lt;&gt;"",E839&lt;&gt;""),D839*E839+IF(ISBLANK(F839),0,F839),"")</f>
        <v/>
      </c>
    </row>
    <row r="840">
      <c r="G840">
        <f>IF(AND(D840&lt;&gt;"",E840&lt;&gt;""),D840*E840+IF(ISBLANK(F840),0,F840),"")</f>
        <v/>
      </c>
    </row>
    <row r="841">
      <c r="G841">
        <f>IF(AND(D841&lt;&gt;"",E841&lt;&gt;""),D841*E841+IF(ISBLANK(F841),0,F841),"")</f>
        <v/>
      </c>
    </row>
    <row r="842">
      <c r="G842">
        <f>IF(AND(D842&lt;&gt;"",E842&lt;&gt;""),D842*E842+IF(ISBLANK(F842),0,F842),"")</f>
        <v/>
      </c>
    </row>
    <row r="843">
      <c r="G843">
        <f>IF(AND(D843&lt;&gt;"",E843&lt;&gt;""),D843*E843+IF(ISBLANK(F843),0,F843),"")</f>
        <v/>
      </c>
    </row>
    <row r="844">
      <c r="G844">
        <f>IF(AND(D844&lt;&gt;"",E844&lt;&gt;""),D844*E844+IF(ISBLANK(F844),0,F844),"")</f>
        <v/>
      </c>
    </row>
    <row r="845">
      <c r="G845">
        <f>IF(AND(D845&lt;&gt;"",E845&lt;&gt;""),D845*E845+IF(ISBLANK(F845),0,F845),"")</f>
        <v/>
      </c>
    </row>
    <row r="846">
      <c r="G846">
        <f>IF(AND(D846&lt;&gt;"",E846&lt;&gt;""),D846*E846+IF(ISBLANK(F846),0,F846),"")</f>
        <v/>
      </c>
    </row>
    <row r="847">
      <c r="G847">
        <f>IF(AND(D847&lt;&gt;"",E847&lt;&gt;""),D847*E847+IF(ISBLANK(F847),0,F847),"")</f>
        <v/>
      </c>
    </row>
    <row r="848">
      <c r="G848">
        <f>IF(AND(D848&lt;&gt;"",E848&lt;&gt;""),D848*E848+IF(ISBLANK(F848),0,F848),"")</f>
        <v/>
      </c>
    </row>
    <row r="849">
      <c r="G849">
        <f>IF(AND(D849&lt;&gt;"",E849&lt;&gt;""),D849*E849+IF(ISBLANK(F849),0,F849),"")</f>
        <v/>
      </c>
    </row>
    <row r="850">
      <c r="G850">
        <f>IF(AND(D850&lt;&gt;"",E850&lt;&gt;""),D850*E850+IF(ISBLANK(F850),0,F850),"")</f>
        <v/>
      </c>
    </row>
    <row r="851">
      <c r="G851">
        <f>IF(AND(D851&lt;&gt;"",E851&lt;&gt;""),D851*E851+IF(ISBLANK(F851),0,F851),"")</f>
        <v/>
      </c>
    </row>
    <row r="852">
      <c r="G852">
        <f>IF(AND(D852&lt;&gt;"",E852&lt;&gt;""),D852*E852+IF(ISBLANK(F852),0,F852),"")</f>
        <v/>
      </c>
    </row>
    <row r="853">
      <c r="G853">
        <f>IF(AND(D853&lt;&gt;"",E853&lt;&gt;""),D853*E853+IF(ISBLANK(F853),0,F853),"")</f>
        <v/>
      </c>
    </row>
    <row r="854">
      <c r="G854">
        <f>IF(AND(D854&lt;&gt;"",E854&lt;&gt;""),D854*E854+IF(ISBLANK(F854),0,F854),"")</f>
        <v/>
      </c>
    </row>
    <row r="855">
      <c r="G855">
        <f>IF(AND(D855&lt;&gt;"",E855&lt;&gt;""),D855*E855+IF(ISBLANK(F855),0,F855),"")</f>
        <v/>
      </c>
    </row>
    <row r="856">
      <c r="G856">
        <f>IF(AND(D856&lt;&gt;"",E856&lt;&gt;""),D856*E856+IF(ISBLANK(F856),0,F856),"")</f>
        <v/>
      </c>
    </row>
    <row r="857">
      <c r="G857">
        <f>IF(AND(D857&lt;&gt;"",E857&lt;&gt;""),D857*E857+IF(ISBLANK(F857),0,F857),"")</f>
        <v/>
      </c>
    </row>
    <row r="858">
      <c r="G858">
        <f>IF(AND(D858&lt;&gt;"",E858&lt;&gt;""),D858*E858+IF(ISBLANK(F858),0,F858),"")</f>
        <v/>
      </c>
    </row>
    <row r="859">
      <c r="G859">
        <f>IF(AND(D859&lt;&gt;"",E859&lt;&gt;""),D859*E859+IF(ISBLANK(F859),0,F859),"")</f>
        <v/>
      </c>
    </row>
    <row r="860">
      <c r="G860">
        <f>IF(AND(D860&lt;&gt;"",E860&lt;&gt;""),D860*E860+IF(ISBLANK(F860),0,F860),"")</f>
        <v/>
      </c>
    </row>
    <row r="861">
      <c r="G861">
        <f>IF(AND(D861&lt;&gt;"",E861&lt;&gt;""),D861*E861+IF(ISBLANK(F861),0,F861),"")</f>
        <v/>
      </c>
    </row>
    <row r="862">
      <c r="G862">
        <f>IF(AND(D862&lt;&gt;"",E862&lt;&gt;""),D862*E862+IF(ISBLANK(F862),0,F862),"")</f>
        <v/>
      </c>
    </row>
    <row r="863">
      <c r="G863">
        <f>IF(AND(D863&lt;&gt;"",E863&lt;&gt;""),D863*E863+IF(ISBLANK(F863),0,F863),"")</f>
        <v/>
      </c>
    </row>
    <row r="864">
      <c r="G864">
        <f>IF(AND(D864&lt;&gt;"",E864&lt;&gt;""),D864*E864+IF(ISBLANK(F864),0,F864),"")</f>
        <v/>
      </c>
    </row>
    <row r="865">
      <c r="G865">
        <f>IF(AND(D865&lt;&gt;"",E865&lt;&gt;""),D865*E865+IF(ISBLANK(F865),0,F865),"")</f>
        <v/>
      </c>
    </row>
    <row r="866">
      <c r="G866">
        <f>IF(AND(D866&lt;&gt;"",E866&lt;&gt;""),D866*E866+IF(ISBLANK(F866),0,F866),"")</f>
        <v/>
      </c>
    </row>
    <row r="867">
      <c r="G867">
        <f>IF(AND(D867&lt;&gt;"",E867&lt;&gt;""),D867*E867+IF(ISBLANK(F867),0,F867),"")</f>
        <v/>
      </c>
    </row>
    <row r="868">
      <c r="G868">
        <f>IF(AND(D868&lt;&gt;"",E868&lt;&gt;""),D868*E868+IF(ISBLANK(F868),0,F868),"")</f>
        <v/>
      </c>
    </row>
    <row r="869">
      <c r="G869">
        <f>IF(AND(D869&lt;&gt;"",E869&lt;&gt;""),D869*E869+IF(ISBLANK(F869),0,F869),"")</f>
        <v/>
      </c>
    </row>
    <row r="870">
      <c r="G870">
        <f>IF(AND(D870&lt;&gt;"",E870&lt;&gt;""),D870*E870+IF(ISBLANK(F870),0,F870),"")</f>
        <v/>
      </c>
    </row>
    <row r="871">
      <c r="G871">
        <f>IF(AND(D871&lt;&gt;"",E871&lt;&gt;""),D871*E871+IF(ISBLANK(F871),0,F871),"")</f>
        <v/>
      </c>
    </row>
    <row r="872">
      <c r="G872">
        <f>IF(AND(D872&lt;&gt;"",E872&lt;&gt;""),D872*E872+IF(ISBLANK(F872),0,F872),"")</f>
        <v/>
      </c>
    </row>
    <row r="873">
      <c r="G873">
        <f>IF(AND(D873&lt;&gt;"",E873&lt;&gt;""),D873*E873+IF(ISBLANK(F873),0,F873),"")</f>
        <v/>
      </c>
    </row>
    <row r="874">
      <c r="G874">
        <f>IF(AND(D874&lt;&gt;"",E874&lt;&gt;""),D874*E874+IF(ISBLANK(F874),0,F874),"")</f>
        <v/>
      </c>
    </row>
    <row r="875">
      <c r="G875">
        <f>IF(AND(D875&lt;&gt;"",E875&lt;&gt;""),D875*E875+IF(ISBLANK(F875),0,F875),"")</f>
        <v/>
      </c>
    </row>
    <row r="876">
      <c r="G876">
        <f>IF(AND(D876&lt;&gt;"",E876&lt;&gt;""),D876*E876+IF(ISBLANK(F876),0,F876),"")</f>
        <v/>
      </c>
    </row>
    <row r="877">
      <c r="G877">
        <f>IF(AND(D877&lt;&gt;"",E877&lt;&gt;""),D877*E877+IF(ISBLANK(F877),0,F877),"")</f>
        <v/>
      </c>
    </row>
    <row r="878">
      <c r="G878">
        <f>IF(AND(D878&lt;&gt;"",E878&lt;&gt;""),D878*E878+IF(ISBLANK(F878),0,F878),"")</f>
        <v/>
      </c>
    </row>
    <row r="879">
      <c r="G879">
        <f>IF(AND(D879&lt;&gt;"",E879&lt;&gt;""),D879*E879+IF(ISBLANK(F879),0,F879),"")</f>
        <v/>
      </c>
    </row>
    <row r="880">
      <c r="G880">
        <f>IF(AND(D880&lt;&gt;"",E880&lt;&gt;""),D880*E880+IF(ISBLANK(F880),0,F880),"")</f>
        <v/>
      </c>
    </row>
    <row r="881">
      <c r="G881">
        <f>IF(AND(D881&lt;&gt;"",E881&lt;&gt;""),D881*E881+IF(ISBLANK(F881),0,F881),"")</f>
        <v/>
      </c>
    </row>
    <row r="882">
      <c r="G882">
        <f>IF(AND(D882&lt;&gt;"",E882&lt;&gt;""),D882*E882+IF(ISBLANK(F882),0,F882),"")</f>
        <v/>
      </c>
    </row>
    <row r="883">
      <c r="G883">
        <f>IF(AND(D883&lt;&gt;"",E883&lt;&gt;""),D883*E883+IF(ISBLANK(F883),0,F883),"")</f>
        <v/>
      </c>
    </row>
    <row r="884">
      <c r="G884">
        <f>IF(AND(D884&lt;&gt;"",E884&lt;&gt;""),D884*E884+IF(ISBLANK(F884),0,F884),"")</f>
        <v/>
      </c>
    </row>
    <row r="885">
      <c r="G885">
        <f>IF(AND(D885&lt;&gt;"",E885&lt;&gt;""),D885*E885+IF(ISBLANK(F885),0,F885),"")</f>
        <v/>
      </c>
    </row>
    <row r="886">
      <c r="G886">
        <f>IF(AND(D886&lt;&gt;"",E886&lt;&gt;""),D886*E886+IF(ISBLANK(F886),0,F886),"")</f>
        <v/>
      </c>
    </row>
    <row r="887">
      <c r="G887">
        <f>IF(AND(D887&lt;&gt;"",E887&lt;&gt;""),D887*E887+IF(ISBLANK(F887),0,F887),"")</f>
        <v/>
      </c>
    </row>
    <row r="888">
      <c r="G888">
        <f>IF(AND(D888&lt;&gt;"",E888&lt;&gt;""),D888*E888+IF(ISBLANK(F888),0,F888),"")</f>
        <v/>
      </c>
    </row>
    <row r="889">
      <c r="G889">
        <f>IF(AND(D889&lt;&gt;"",E889&lt;&gt;""),D889*E889+IF(ISBLANK(F889),0,F889),"")</f>
        <v/>
      </c>
    </row>
    <row r="890">
      <c r="G890">
        <f>IF(AND(D890&lt;&gt;"",E890&lt;&gt;""),D890*E890+IF(ISBLANK(F890),0,F890),"")</f>
        <v/>
      </c>
    </row>
    <row r="891">
      <c r="G891">
        <f>IF(AND(D891&lt;&gt;"",E891&lt;&gt;""),D891*E891+IF(ISBLANK(F891),0,F891),"")</f>
        <v/>
      </c>
    </row>
    <row r="892">
      <c r="G892">
        <f>IF(AND(D892&lt;&gt;"",E892&lt;&gt;""),D892*E892+IF(ISBLANK(F892),0,F892),"")</f>
        <v/>
      </c>
    </row>
    <row r="893">
      <c r="G893">
        <f>IF(AND(D893&lt;&gt;"",E893&lt;&gt;""),D893*E893+IF(ISBLANK(F893),0,F893),"")</f>
        <v/>
      </c>
    </row>
    <row r="894">
      <c r="G894">
        <f>IF(AND(D894&lt;&gt;"",E894&lt;&gt;""),D894*E894+IF(ISBLANK(F894),0,F894),"")</f>
        <v/>
      </c>
    </row>
    <row r="895">
      <c r="G895">
        <f>IF(AND(D895&lt;&gt;"",E895&lt;&gt;""),D895*E895+IF(ISBLANK(F895),0,F895),"")</f>
        <v/>
      </c>
    </row>
    <row r="896">
      <c r="G896">
        <f>IF(AND(D896&lt;&gt;"",E896&lt;&gt;""),D896*E896+IF(ISBLANK(F896),0,F896),"")</f>
        <v/>
      </c>
    </row>
    <row r="897">
      <c r="G897">
        <f>IF(AND(D897&lt;&gt;"",E897&lt;&gt;""),D897*E897+IF(ISBLANK(F897),0,F897),"")</f>
        <v/>
      </c>
    </row>
    <row r="898">
      <c r="G898">
        <f>IF(AND(D898&lt;&gt;"",E898&lt;&gt;""),D898*E898+IF(ISBLANK(F898),0,F898),"")</f>
        <v/>
      </c>
    </row>
    <row r="899">
      <c r="G899">
        <f>IF(AND(D899&lt;&gt;"",E899&lt;&gt;""),D899*E899+IF(ISBLANK(F899),0,F899),"")</f>
        <v/>
      </c>
    </row>
    <row r="900">
      <c r="G900">
        <f>IF(AND(D900&lt;&gt;"",E900&lt;&gt;""),D900*E900+IF(ISBLANK(F900),0,F900),"")</f>
        <v/>
      </c>
    </row>
    <row r="901">
      <c r="G901">
        <f>IF(AND(D901&lt;&gt;"",E901&lt;&gt;""),D901*E901+IF(ISBLANK(F901),0,F901),"")</f>
        <v/>
      </c>
    </row>
    <row r="902">
      <c r="G902">
        <f>IF(AND(D902&lt;&gt;"",E902&lt;&gt;""),D902*E902+IF(ISBLANK(F902),0,F902),"")</f>
        <v/>
      </c>
    </row>
    <row r="903">
      <c r="G903">
        <f>IF(AND(D903&lt;&gt;"",E903&lt;&gt;""),D903*E903+IF(ISBLANK(F903),0,F903),"")</f>
        <v/>
      </c>
    </row>
    <row r="904">
      <c r="G904">
        <f>IF(AND(D904&lt;&gt;"",E904&lt;&gt;""),D904*E904+IF(ISBLANK(F904),0,F904),"")</f>
        <v/>
      </c>
    </row>
    <row r="905">
      <c r="G905">
        <f>IF(AND(D905&lt;&gt;"",E905&lt;&gt;""),D905*E905+IF(ISBLANK(F905),0,F905),"")</f>
        <v/>
      </c>
    </row>
    <row r="906">
      <c r="G906">
        <f>IF(AND(D906&lt;&gt;"",E906&lt;&gt;""),D906*E906+IF(ISBLANK(F906),0,F906),"")</f>
        <v/>
      </c>
    </row>
    <row r="907">
      <c r="G907">
        <f>IF(AND(D907&lt;&gt;"",E907&lt;&gt;""),D907*E907+IF(ISBLANK(F907),0,F907),"")</f>
        <v/>
      </c>
    </row>
    <row r="908">
      <c r="G908">
        <f>IF(AND(D908&lt;&gt;"",E908&lt;&gt;""),D908*E908+IF(ISBLANK(F908),0,F908),"")</f>
        <v/>
      </c>
    </row>
    <row r="909">
      <c r="G909">
        <f>IF(AND(D909&lt;&gt;"",E909&lt;&gt;""),D909*E909+IF(ISBLANK(F909),0,F909),"")</f>
        <v/>
      </c>
    </row>
    <row r="910">
      <c r="G910">
        <f>IF(AND(D910&lt;&gt;"",E910&lt;&gt;""),D910*E910+IF(ISBLANK(F910),0,F910),"")</f>
        <v/>
      </c>
    </row>
    <row r="911">
      <c r="G911">
        <f>IF(AND(D911&lt;&gt;"",E911&lt;&gt;""),D911*E911+IF(ISBLANK(F911),0,F911),"")</f>
        <v/>
      </c>
    </row>
    <row r="912">
      <c r="G912">
        <f>IF(AND(D912&lt;&gt;"",E912&lt;&gt;""),D912*E912+IF(ISBLANK(F912),0,F912),"")</f>
        <v/>
      </c>
    </row>
    <row r="913">
      <c r="G913">
        <f>IF(AND(D913&lt;&gt;"",E913&lt;&gt;""),D913*E913+IF(ISBLANK(F913),0,F913),"")</f>
        <v/>
      </c>
    </row>
    <row r="914">
      <c r="G914">
        <f>IF(AND(D914&lt;&gt;"",E914&lt;&gt;""),D914*E914+IF(ISBLANK(F914),0,F914),"")</f>
        <v/>
      </c>
    </row>
    <row r="915">
      <c r="G915">
        <f>IF(AND(D915&lt;&gt;"",E915&lt;&gt;""),D915*E915+IF(ISBLANK(F915),0,F915),"")</f>
        <v/>
      </c>
    </row>
    <row r="916">
      <c r="G916">
        <f>IF(AND(D916&lt;&gt;"",E916&lt;&gt;""),D916*E916+IF(ISBLANK(F916),0,F916),"")</f>
        <v/>
      </c>
    </row>
    <row r="917">
      <c r="G917">
        <f>IF(AND(D917&lt;&gt;"",E917&lt;&gt;""),D917*E917+IF(ISBLANK(F917),0,F917),"")</f>
        <v/>
      </c>
    </row>
    <row r="918">
      <c r="G918">
        <f>IF(AND(D918&lt;&gt;"",E918&lt;&gt;""),D918*E918+IF(ISBLANK(F918),0,F918),"")</f>
        <v/>
      </c>
    </row>
    <row r="919">
      <c r="G919">
        <f>IF(AND(D919&lt;&gt;"",E919&lt;&gt;""),D919*E919+IF(ISBLANK(F919),0,F919),"")</f>
        <v/>
      </c>
    </row>
    <row r="920">
      <c r="G920">
        <f>IF(AND(D920&lt;&gt;"",E920&lt;&gt;""),D920*E920+IF(ISBLANK(F920),0,F920),"")</f>
        <v/>
      </c>
    </row>
    <row r="921">
      <c r="G921">
        <f>IF(AND(D921&lt;&gt;"",E921&lt;&gt;""),D921*E921+IF(ISBLANK(F921),0,F921),"")</f>
        <v/>
      </c>
    </row>
    <row r="922">
      <c r="G922">
        <f>IF(AND(D922&lt;&gt;"",E922&lt;&gt;""),D922*E922+IF(ISBLANK(F922),0,F922),"")</f>
        <v/>
      </c>
    </row>
    <row r="923">
      <c r="G923">
        <f>IF(AND(D923&lt;&gt;"",E923&lt;&gt;""),D923*E923+IF(ISBLANK(F923),0,F923),"")</f>
        <v/>
      </c>
    </row>
    <row r="924">
      <c r="G924">
        <f>IF(AND(D924&lt;&gt;"",E924&lt;&gt;""),D924*E924+IF(ISBLANK(F924),0,F924),"")</f>
        <v/>
      </c>
    </row>
    <row r="925">
      <c r="G925">
        <f>IF(AND(D925&lt;&gt;"",E925&lt;&gt;""),D925*E925+IF(ISBLANK(F925),0,F925),"")</f>
        <v/>
      </c>
    </row>
    <row r="926">
      <c r="G926">
        <f>IF(AND(D926&lt;&gt;"",E926&lt;&gt;""),D926*E926+IF(ISBLANK(F926),0,F926),"")</f>
        <v/>
      </c>
    </row>
    <row r="927">
      <c r="G927">
        <f>IF(AND(D927&lt;&gt;"",E927&lt;&gt;""),D927*E927+IF(ISBLANK(F927),0,F927),"")</f>
        <v/>
      </c>
    </row>
    <row r="928">
      <c r="G928">
        <f>IF(AND(D928&lt;&gt;"",E928&lt;&gt;""),D928*E928+IF(ISBLANK(F928),0,F928),"")</f>
        <v/>
      </c>
    </row>
    <row r="929">
      <c r="G929">
        <f>IF(AND(D929&lt;&gt;"",E929&lt;&gt;""),D929*E929+IF(ISBLANK(F929),0,F929),"")</f>
        <v/>
      </c>
    </row>
    <row r="930">
      <c r="G930">
        <f>IF(AND(D930&lt;&gt;"",E930&lt;&gt;""),D930*E930+IF(ISBLANK(F930),0,F930),"")</f>
        <v/>
      </c>
    </row>
    <row r="931">
      <c r="G931">
        <f>IF(AND(D931&lt;&gt;"",E931&lt;&gt;""),D931*E931+IF(ISBLANK(F931),0,F931),"")</f>
        <v/>
      </c>
    </row>
    <row r="932">
      <c r="G932">
        <f>IF(AND(D932&lt;&gt;"",E932&lt;&gt;""),D932*E932+IF(ISBLANK(F932),0,F932),"")</f>
        <v/>
      </c>
    </row>
    <row r="933">
      <c r="G933">
        <f>IF(AND(D933&lt;&gt;"",E933&lt;&gt;""),D933*E933+IF(ISBLANK(F933),0,F933),"")</f>
        <v/>
      </c>
    </row>
    <row r="934">
      <c r="G934">
        <f>IF(AND(D934&lt;&gt;"",E934&lt;&gt;""),D934*E934+IF(ISBLANK(F934),0,F934),"")</f>
        <v/>
      </c>
    </row>
    <row r="935">
      <c r="G935">
        <f>IF(AND(D935&lt;&gt;"",E935&lt;&gt;""),D935*E935+IF(ISBLANK(F935),0,F935),"")</f>
        <v/>
      </c>
    </row>
    <row r="936">
      <c r="G936">
        <f>IF(AND(D936&lt;&gt;"",E936&lt;&gt;""),D936*E936+IF(ISBLANK(F936),0,F936),"")</f>
        <v/>
      </c>
    </row>
    <row r="937">
      <c r="G937">
        <f>IF(AND(D937&lt;&gt;"",E937&lt;&gt;""),D937*E937+IF(ISBLANK(F937),0,F937),"")</f>
        <v/>
      </c>
    </row>
    <row r="938">
      <c r="G938">
        <f>IF(AND(D938&lt;&gt;"",E938&lt;&gt;""),D938*E938+IF(ISBLANK(F938),0,F938),"")</f>
        <v/>
      </c>
    </row>
    <row r="939">
      <c r="G939">
        <f>IF(AND(D939&lt;&gt;"",E939&lt;&gt;""),D939*E939+IF(ISBLANK(F939),0,F939),"")</f>
        <v/>
      </c>
    </row>
    <row r="940">
      <c r="G940">
        <f>IF(AND(D940&lt;&gt;"",E940&lt;&gt;""),D940*E940+IF(ISBLANK(F940),0,F940),"")</f>
        <v/>
      </c>
    </row>
    <row r="941">
      <c r="G941">
        <f>IF(AND(D941&lt;&gt;"",E941&lt;&gt;""),D941*E941+IF(ISBLANK(F941),0,F941),"")</f>
        <v/>
      </c>
    </row>
    <row r="942">
      <c r="G942">
        <f>IF(AND(D942&lt;&gt;"",E942&lt;&gt;""),D942*E942+IF(ISBLANK(F942),0,F942),"")</f>
        <v/>
      </c>
    </row>
    <row r="943">
      <c r="G943">
        <f>IF(AND(D943&lt;&gt;"",E943&lt;&gt;""),D943*E943+IF(ISBLANK(F943),0,F943),"")</f>
        <v/>
      </c>
    </row>
    <row r="944">
      <c r="G944">
        <f>IF(AND(D944&lt;&gt;"",E944&lt;&gt;""),D944*E944+IF(ISBLANK(F944),0,F944),"")</f>
        <v/>
      </c>
    </row>
    <row r="945">
      <c r="G945">
        <f>IF(AND(D945&lt;&gt;"",E945&lt;&gt;""),D945*E945+IF(ISBLANK(F945),0,F945),"")</f>
        <v/>
      </c>
    </row>
    <row r="946">
      <c r="G946">
        <f>IF(AND(D946&lt;&gt;"",E946&lt;&gt;""),D946*E946+IF(ISBLANK(F946),0,F946),"")</f>
        <v/>
      </c>
    </row>
    <row r="947">
      <c r="G947">
        <f>IF(AND(D947&lt;&gt;"",E947&lt;&gt;""),D947*E947+IF(ISBLANK(F947),0,F947),"")</f>
        <v/>
      </c>
    </row>
    <row r="948">
      <c r="G948">
        <f>IF(AND(D948&lt;&gt;"",E948&lt;&gt;""),D948*E948+IF(ISBLANK(F948),0,F948),"")</f>
        <v/>
      </c>
    </row>
    <row r="949">
      <c r="G949">
        <f>IF(AND(D949&lt;&gt;"",E949&lt;&gt;""),D949*E949+IF(ISBLANK(F949),0,F949),"")</f>
        <v/>
      </c>
    </row>
    <row r="950">
      <c r="G950">
        <f>IF(AND(D950&lt;&gt;"",E950&lt;&gt;""),D950*E950+IF(ISBLANK(F950),0,F950),"")</f>
        <v/>
      </c>
    </row>
    <row r="951">
      <c r="G951">
        <f>IF(AND(D951&lt;&gt;"",E951&lt;&gt;""),D951*E951+IF(ISBLANK(F951),0,F951),"")</f>
        <v/>
      </c>
    </row>
    <row r="952">
      <c r="G952">
        <f>IF(AND(D952&lt;&gt;"",E952&lt;&gt;""),D952*E952+IF(ISBLANK(F952),0,F952),"")</f>
        <v/>
      </c>
    </row>
    <row r="953">
      <c r="G953">
        <f>IF(AND(D953&lt;&gt;"",E953&lt;&gt;""),D953*E953+IF(ISBLANK(F953),0,F953),"")</f>
        <v/>
      </c>
    </row>
    <row r="954">
      <c r="G954">
        <f>IF(AND(D954&lt;&gt;"",E954&lt;&gt;""),D954*E954+IF(ISBLANK(F954),0,F954),"")</f>
        <v/>
      </c>
    </row>
    <row r="955">
      <c r="G955">
        <f>IF(AND(D955&lt;&gt;"",E955&lt;&gt;""),D955*E955+IF(ISBLANK(F955),0,F955),"")</f>
        <v/>
      </c>
    </row>
    <row r="956">
      <c r="G956">
        <f>IF(AND(D956&lt;&gt;"",E956&lt;&gt;""),D956*E956+IF(ISBLANK(F956),0,F956),"")</f>
        <v/>
      </c>
    </row>
    <row r="957">
      <c r="G957">
        <f>IF(AND(D957&lt;&gt;"",E957&lt;&gt;""),D957*E957+IF(ISBLANK(F957),0,F957),"")</f>
        <v/>
      </c>
    </row>
    <row r="958">
      <c r="G958">
        <f>IF(AND(D958&lt;&gt;"",E958&lt;&gt;""),D958*E958+IF(ISBLANK(F958),0,F958),"")</f>
        <v/>
      </c>
    </row>
    <row r="959">
      <c r="G959">
        <f>IF(AND(D959&lt;&gt;"",E959&lt;&gt;""),D959*E959+IF(ISBLANK(F959),0,F959),"")</f>
        <v/>
      </c>
    </row>
    <row r="960">
      <c r="G960">
        <f>IF(AND(D960&lt;&gt;"",E960&lt;&gt;""),D960*E960+IF(ISBLANK(F960),0,F960),"")</f>
        <v/>
      </c>
    </row>
    <row r="961">
      <c r="G961">
        <f>IF(AND(D961&lt;&gt;"",E961&lt;&gt;""),D961*E961+IF(ISBLANK(F961),0,F961),"")</f>
        <v/>
      </c>
    </row>
    <row r="962">
      <c r="G962">
        <f>IF(AND(D962&lt;&gt;"",E962&lt;&gt;""),D962*E962+IF(ISBLANK(F962),0,F962),"")</f>
        <v/>
      </c>
    </row>
    <row r="963">
      <c r="G963">
        <f>IF(AND(D963&lt;&gt;"",E963&lt;&gt;""),D963*E963+IF(ISBLANK(F963),0,F963),"")</f>
        <v/>
      </c>
    </row>
    <row r="964">
      <c r="G964">
        <f>IF(AND(D964&lt;&gt;"",E964&lt;&gt;""),D964*E964+IF(ISBLANK(F964),0,F964),"")</f>
        <v/>
      </c>
    </row>
    <row r="965">
      <c r="G965">
        <f>IF(AND(D965&lt;&gt;"",E965&lt;&gt;""),D965*E965+IF(ISBLANK(F965),0,F965),"")</f>
        <v/>
      </c>
    </row>
    <row r="966">
      <c r="G966">
        <f>IF(AND(D966&lt;&gt;"",E966&lt;&gt;""),D966*E966+IF(ISBLANK(F966),0,F966),"")</f>
        <v/>
      </c>
    </row>
    <row r="967">
      <c r="G967">
        <f>IF(AND(D967&lt;&gt;"",E967&lt;&gt;""),D967*E967+IF(ISBLANK(F967),0,F967),"")</f>
        <v/>
      </c>
    </row>
    <row r="968">
      <c r="G968">
        <f>IF(AND(D968&lt;&gt;"",E968&lt;&gt;""),D968*E968+IF(ISBLANK(F968),0,F968),"")</f>
        <v/>
      </c>
    </row>
    <row r="969">
      <c r="G969">
        <f>IF(AND(D969&lt;&gt;"",E969&lt;&gt;""),D969*E969+IF(ISBLANK(F969),0,F969),"")</f>
        <v/>
      </c>
    </row>
    <row r="970">
      <c r="G970">
        <f>IF(AND(D970&lt;&gt;"",E970&lt;&gt;""),D970*E970+IF(ISBLANK(F970),0,F970),"")</f>
        <v/>
      </c>
    </row>
    <row r="971">
      <c r="G971">
        <f>IF(AND(D971&lt;&gt;"",E971&lt;&gt;""),D971*E971+IF(ISBLANK(F971),0,F971),"")</f>
        <v/>
      </c>
    </row>
    <row r="972">
      <c r="G972">
        <f>IF(AND(D972&lt;&gt;"",E972&lt;&gt;""),D972*E972+IF(ISBLANK(F972),0,F972),"")</f>
        <v/>
      </c>
    </row>
    <row r="973">
      <c r="G973">
        <f>IF(AND(D973&lt;&gt;"",E973&lt;&gt;""),D973*E973+IF(ISBLANK(F973),0,F973),"")</f>
        <v/>
      </c>
    </row>
    <row r="974">
      <c r="G974">
        <f>IF(AND(D974&lt;&gt;"",E974&lt;&gt;""),D974*E974+IF(ISBLANK(F974),0,F974),"")</f>
        <v/>
      </c>
    </row>
    <row r="975">
      <c r="G975">
        <f>IF(AND(D975&lt;&gt;"",E975&lt;&gt;""),D975*E975+IF(ISBLANK(F975),0,F975),"")</f>
        <v/>
      </c>
    </row>
    <row r="976">
      <c r="G976">
        <f>IF(AND(D976&lt;&gt;"",E976&lt;&gt;""),D976*E976+IF(ISBLANK(F976),0,F976),"")</f>
        <v/>
      </c>
    </row>
    <row r="977">
      <c r="G977">
        <f>IF(AND(D977&lt;&gt;"",E977&lt;&gt;""),D977*E977+IF(ISBLANK(F977),0,F977),"")</f>
        <v/>
      </c>
    </row>
    <row r="978">
      <c r="G978">
        <f>IF(AND(D978&lt;&gt;"",E978&lt;&gt;""),D978*E978+IF(ISBLANK(F978),0,F978),"")</f>
        <v/>
      </c>
    </row>
    <row r="979">
      <c r="G979">
        <f>IF(AND(D979&lt;&gt;"",E979&lt;&gt;""),D979*E979+IF(ISBLANK(F979),0,F979),"")</f>
        <v/>
      </c>
    </row>
    <row r="980">
      <c r="G980">
        <f>IF(AND(D980&lt;&gt;"",E980&lt;&gt;""),D980*E980+IF(ISBLANK(F980),0,F980),"")</f>
        <v/>
      </c>
    </row>
    <row r="981">
      <c r="G981">
        <f>IF(AND(D981&lt;&gt;"",E981&lt;&gt;""),D981*E981+IF(ISBLANK(F981),0,F981),"")</f>
        <v/>
      </c>
    </row>
    <row r="982">
      <c r="G982">
        <f>IF(AND(D982&lt;&gt;"",E982&lt;&gt;""),D982*E982+IF(ISBLANK(F982),0,F982),"")</f>
        <v/>
      </c>
    </row>
    <row r="983">
      <c r="G983">
        <f>IF(AND(D983&lt;&gt;"",E983&lt;&gt;""),D983*E983+IF(ISBLANK(F983),0,F983),"")</f>
        <v/>
      </c>
    </row>
    <row r="984">
      <c r="G984">
        <f>IF(AND(D984&lt;&gt;"",E984&lt;&gt;""),D984*E984+IF(ISBLANK(F984),0,F984),"")</f>
        <v/>
      </c>
    </row>
    <row r="985">
      <c r="G985">
        <f>IF(AND(D985&lt;&gt;"",E985&lt;&gt;""),D985*E985+IF(ISBLANK(F985),0,F985),"")</f>
        <v/>
      </c>
    </row>
    <row r="986">
      <c r="G986">
        <f>IF(AND(D986&lt;&gt;"",E986&lt;&gt;""),D986*E986+IF(ISBLANK(F986),0,F986),"")</f>
        <v/>
      </c>
    </row>
    <row r="987">
      <c r="G987">
        <f>IF(AND(D987&lt;&gt;"",E987&lt;&gt;""),D987*E987+IF(ISBLANK(F987),0,F987),"")</f>
        <v/>
      </c>
    </row>
    <row r="988">
      <c r="G988">
        <f>IF(AND(D988&lt;&gt;"",E988&lt;&gt;""),D988*E988+IF(ISBLANK(F988),0,F988),"")</f>
        <v/>
      </c>
    </row>
    <row r="989">
      <c r="G989">
        <f>IF(AND(D989&lt;&gt;"",E989&lt;&gt;""),D989*E989+IF(ISBLANK(F989),0,F989),"")</f>
        <v/>
      </c>
    </row>
    <row r="990">
      <c r="G990">
        <f>IF(AND(D990&lt;&gt;"",E990&lt;&gt;""),D990*E990+IF(ISBLANK(F990),0,F990),"")</f>
        <v/>
      </c>
    </row>
    <row r="991">
      <c r="G991">
        <f>IF(AND(D991&lt;&gt;"",E991&lt;&gt;""),D991*E991+IF(ISBLANK(F991),0,F991),"")</f>
        <v/>
      </c>
    </row>
    <row r="992">
      <c r="G992">
        <f>IF(AND(D992&lt;&gt;"",E992&lt;&gt;""),D992*E992+IF(ISBLANK(F992),0,F992),"")</f>
        <v/>
      </c>
    </row>
    <row r="993">
      <c r="G993">
        <f>IF(AND(D993&lt;&gt;"",E993&lt;&gt;""),D993*E993+IF(ISBLANK(F993),0,F993),"")</f>
        <v/>
      </c>
    </row>
    <row r="994">
      <c r="G994">
        <f>IF(AND(D994&lt;&gt;"",E994&lt;&gt;""),D994*E994+IF(ISBLANK(F994),0,F994),"")</f>
        <v/>
      </c>
    </row>
    <row r="995">
      <c r="G995">
        <f>IF(AND(D995&lt;&gt;"",E995&lt;&gt;""),D995*E995+IF(ISBLANK(F995),0,F995),"")</f>
        <v/>
      </c>
    </row>
    <row r="996">
      <c r="G996">
        <f>IF(AND(D996&lt;&gt;"",E996&lt;&gt;""),D996*E996+IF(ISBLANK(F996),0,F996),"")</f>
        <v/>
      </c>
    </row>
    <row r="997">
      <c r="G997">
        <f>IF(AND(D997&lt;&gt;"",E997&lt;&gt;""),D997*E997+IF(ISBLANK(F997),0,F997),"")</f>
        <v/>
      </c>
    </row>
    <row r="998">
      <c r="G998">
        <f>IF(AND(D998&lt;&gt;"",E998&lt;&gt;""),D998*E998+IF(ISBLANK(F998),0,F998),"")</f>
        <v/>
      </c>
    </row>
    <row r="999">
      <c r="G999">
        <f>IF(AND(D999&lt;&gt;"",E999&lt;&gt;""),D999*E999+IF(ISBLANK(F999),0,F999),"")</f>
        <v/>
      </c>
    </row>
    <row r="1000">
      <c r="G1000">
        <f>IF(AND(D1000&lt;&gt;"",E1000&lt;&gt;""),D1000*E1000+IF(ISBLANK(F1000),0,F1000),"")</f>
        <v/>
      </c>
    </row>
  </sheetData>
  <dataValidations count="1">
    <dataValidation sqref="C2:C1000" showDropDown="0" showInputMessage="0" showErrorMessage="0" allowBlank="0" errorTitle="Invalid Entry" error="Please select Buy or Sell" type="list">
      <formula1>"Buy,Sell"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6" t="inlineStr">
        <is>
          <t>Stock Name</t>
        </is>
      </c>
      <c r="B1" s="6" t="inlineStr">
        <is>
          <t>Buy Date</t>
        </is>
      </c>
      <c r="C1" s="6" t="inlineStr">
        <is>
          <t>Buy Qty</t>
        </is>
      </c>
      <c r="D1" s="6" t="inlineStr">
        <is>
          <t>Buy Price</t>
        </is>
      </c>
      <c r="E1" s="6" t="inlineStr">
        <is>
          <t>Total Value</t>
        </is>
      </c>
      <c r="F1" s="6" t="inlineStr">
        <is>
          <t>Cumulative Buy Qty</t>
        </is>
      </c>
      <c r="G1" s="6" t="inlineStr">
        <is>
          <t>Total Sold Qty</t>
        </is>
      </c>
      <c r="H1" s="6" t="inlineStr">
        <is>
          <t>Sold from this Lot</t>
        </is>
      </c>
      <c r="I1" s="6" t="inlineStr">
        <is>
          <t>Remaining Qty</t>
        </is>
      </c>
      <c r="J1" s="6" t="inlineStr">
        <is>
          <t>Remaining Value</t>
        </is>
      </c>
      <c r="L1" s="10" t="inlineStr">
        <is>
          <t>FIFO Engine - Auto-populated from Buy transactions</t>
        </is>
      </c>
    </row>
    <row r="2">
      <c r="A2">
        <f>IFERROR(INDEX(SORT(FILTER(Transactions!$B:$B,(Transactions!$C:$C="Buy")*(Transactions!$B:$B&lt;&gt;"")),1,1),1),"")</f>
        <v/>
      </c>
      <c r="B2">
        <f>IF(A2="","",INDEX(SORT(FILTER(Transactions!$A:$G,(Transactions!$C:$C="Buy")*(Transactions!$B:$B&lt;&gt;"")),2,1),1,1))</f>
        <v/>
      </c>
      <c r="C2">
        <f>IF(A2="","",INDEX(SORT(FILTER(Transactions!$A:$G,(Transactions!$C:$C="Buy")*(Transactions!$B:$B&lt;&gt;"")),2,1),1,4))</f>
        <v/>
      </c>
      <c r="D2">
        <f>IF(A2="","",INDEX(SORT(FILTER(Transactions!$A:$G,(Transactions!$C:$C="Buy")*(Transactions!$B:$B&lt;&gt;"")),2,1),1,5))</f>
        <v/>
      </c>
      <c r="E2">
        <f>IF(C2="","",C2*D2)</f>
        <v/>
      </c>
      <c r="F2">
        <f>IF(A2="","",SUMIFS(C$2:C2,A$2:A2,A2,B$2:B2,"&lt;="&amp;B2))</f>
        <v/>
      </c>
      <c r="G2">
        <f>IF(A2="","",SUMIFS(Transactions!$D:$D,Transactions!$B:$B,A2,Transactions!$C:$C,"Sell"))</f>
        <v/>
      </c>
      <c r="H2">
        <f>IF(A2="","",MAX(0,MIN(C2,G2-SUM(H$2:H1))))</f>
        <v/>
      </c>
      <c r="I2">
        <f>IF(C2="","",C2-H2)</f>
        <v/>
      </c>
      <c r="J2">
        <f>IF(I2="","",I2*D2)</f>
        <v/>
      </c>
      <c r="L2" s="11" t="inlineStr">
        <is>
          <t>This sheet automatically tracks which buy lots have been sold using FIFO method.</t>
        </is>
      </c>
    </row>
    <row r="3">
      <c r="A3">
        <f>IFERROR(INDEX(SORT(FILTER(Transactions!$B:$B,(Transactions!$C:$C="Buy")*(Transactions!$B:$B&lt;&gt;"")),1,1),2),"")</f>
        <v/>
      </c>
      <c r="B3">
        <f>IF(A3="","",INDEX(SORT(FILTER(Transactions!$A:$G,(Transactions!$C:$C="Buy")*(Transactions!$B:$B&lt;&gt;"")),2,1),2,1))</f>
        <v/>
      </c>
      <c r="C3">
        <f>IF(A3="","",INDEX(SORT(FILTER(Transactions!$A:$G,(Transactions!$C:$C="Buy")*(Transactions!$B:$B&lt;&gt;"")),2,1),2,4))</f>
        <v/>
      </c>
      <c r="D3">
        <f>IF(A3="","",INDEX(SORT(FILTER(Transactions!$A:$G,(Transactions!$C:$C="Buy")*(Transactions!$B:$B&lt;&gt;"")),2,1),2,5))</f>
        <v/>
      </c>
      <c r="E3">
        <f>IF(C3="","",C3*D3)</f>
        <v/>
      </c>
      <c r="F3">
        <f>IF(A3="","",SUMIFS(C$2:C3,A$2:A3,A3,B$2:B3,"&lt;="&amp;B3))</f>
        <v/>
      </c>
      <c r="G3">
        <f>IF(A3="","",SUMIFS(Transactions!$D:$D,Transactions!$B:$B,A3,Transactions!$C:$C,"Sell"))</f>
        <v/>
      </c>
      <c r="H3">
        <f>IF(A3="","",MAX(0,MIN(C3,G3-SUM(H$2:H2))))</f>
        <v/>
      </c>
      <c r="I3">
        <f>IF(C3="","",C3-H3)</f>
        <v/>
      </c>
      <c r="J3">
        <f>IF(I3="","",I3*D3)</f>
        <v/>
      </c>
    </row>
    <row r="4">
      <c r="A4">
        <f>IFERROR(INDEX(SORT(FILTER(Transactions!$B:$B,(Transactions!$C:$C="Buy")*(Transactions!$B:$B&lt;&gt;"")),1,1),3),"")</f>
        <v/>
      </c>
      <c r="B4">
        <f>IF(A4="","",INDEX(SORT(FILTER(Transactions!$A:$G,(Transactions!$C:$C="Buy")*(Transactions!$B:$B&lt;&gt;"")),2,1),3,1))</f>
        <v/>
      </c>
      <c r="C4">
        <f>IF(A4="","",INDEX(SORT(FILTER(Transactions!$A:$G,(Transactions!$C:$C="Buy")*(Transactions!$B:$B&lt;&gt;"")),2,1),3,4))</f>
        <v/>
      </c>
      <c r="D4">
        <f>IF(A4="","",INDEX(SORT(FILTER(Transactions!$A:$G,(Transactions!$C:$C="Buy")*(Transactions!$B:$B&lt;&gt;"")),2,1),3,5))</f>
        <v/>
      </c>
      <c r="E4">
        <f>IF(C4="","",C4*D4)</f>
        <v/>
      </c>
      <c r="F4">
        <f>IF(A4="","",SUMIFS(C$2:C4,A$2:A4,A4,B$2:B4,"&lt;="&amp;B4))</f>
        <v/>
      </c>
      <c r="G4">
        <f>IF(A4="","",SUMIFS(Transactions!$D:$D,Transactions!$B:$B,A4,Transactions!$C:$C,"Sell"))</f>
        <v/>
      </c>
      <c r="H4">
        <f>IF(A4="","",MAX(0,MIN(C4,G4-SUM(H$2:H3))))</f>
        <v/>
      </c>
      <c r="I4">
        <f>IF(C4="","",C4-H4)</f>
        <v/>
      </c>
      <c r="J4">
        <f>IF(I4="","",I4*D4)</f>
        <v/>
      </c>
      <c r="L4" s="12" t="inlineStr">
        <is>
          <t>How FIFO works here:</t>
        </is>
      </c>
    </row>
    <row r="5">
      <c r="A5">
        <f>IFERROR(INDEX(SORT(FILTER(Transactions!$B:$B,(Transactions!$C:$C="Buy")*(Transactions!$B:$B&lt;&gt;"")),1,1),4),"")</f>
        <v/>
      </c>
      <c r="B5">
        <f>IF(A5="","",INDEX(SORT(FILTER(Transactions!$A:$G,(Transactions!$C:$C="Buy")*(Transactions!$B:$B&lt;&gt;"")),2,1),4,1))</f>
        <v/>
      </c>
      <c r="C5">
        <f>IF(A5="","",INDEX(SORT(FILTER(Transactions!$A:$G,(Transactions!$C:$C="Buy")*(Transactions!$B:$B&lt;&gt;"")),2,1),4,4))</f>
        <v/>
      </c>
      <c r="D5">
        <f>IF(A5="","",INDEX(SORT(FILTER(Transactions!$A:$G,(Transactions!$C:$C="Buy")*(Transactions!$B:$B&lt;&gt;"")),2,1),4,5))</f>
        <v/>
      </c>
      <c r="E5">
        <f>IF(C5="","",C5*D5)</f>
        <v/>
      </c>
      <c r="F5">
        <f>IF(A5="","",SUMIFS(C$2:C5,A$2:A5,A5,B$2:B5,"&lt;="&amp;B5))</f>
        <v/>
      </c>
      <c r="G5">
        <f>IF(A5="","",SUMIFS(Transactions!$D:$D,Transactions!$B:$B,A5,Transactions!$C:$C,"Sell"))</f>
        <v/>
      </c>
      <c r="H5">
        <f>IF(A5="","",MAX(0,MIN(C5,G5-SUM(H$2:H4))))</f>
        <v/>
      </c>
      <c r="I5">
        <f>IF(C5="","",C5-H5)</f>
        <v/>
      </c>
      <c r="J5">
        <f>IF(I5="","",I5*D5)</f>
        <v/>
      </c>
      <c r="L5" s="13" t="inlineStr">
        <is>
          <t>1. All Buy transactions are sorted by date</t>
        </is>
      </c>
    </row>
    <row r="6">
      <c r="A6">
        <f>IFERROR(INDEX(SORT(FILTER(Transactions!$B:$B,(Transactions!$C:$C="Buy")*(Transactions!$B:$B&lt;&gt;"")),1,1),5),"")</f>
        <v/>
      </c>
      <c r="B6">
        <f>IF(A6="","",INDEX(SORT(FILTER(Transactions!$A:$G,(Transactions!$C:$C="Buy")*(Transactions!$B:$B&lt;&gt;"")),2,1),5,1))</f>
        <v/>
      </c>
      <c r="C6">
        <f>IF(A6="","",INDEX(SORT(FILTER(Transactions!$A:$G,(Transactions!$C:$C="Buy")*(Transactions!$B:$B&lt;&gt;"")),2,1),5,4))</f>
        <v/>
      </c>
      <c r="D6">
        <f>IF(A6="","",INDEX(SORT(FILTER(Transactions!$A:$G,(Transactions!$C:$C="Buy")*(Transactions!$B:$B&lt;&gt;"")),2,1),5,5))</f>
        <v/>
      </c>
      <c r="E6">
        <f>IF(C6="","",C6*D6)</f>
        <v/>
      </c>
      <c r="F6">
        <f>IF(A6="","",SUMIFS(C$2:C6,A$2:A6,A6,B$2:B6,"&lt;="&amp;B6))</f>
        <v/>
      </c>
      <c r="G6">
        <f>IF(A6="","",SUMIFS(Transactions!$D:$D,Transactions!$B:$B,A6,Transactions!$C:$C,"Sell"))</f>
        <v/>
      </c>
      <c r="H6">
        <f>IF(A6="","",MAX(0,MIN(C6,G6-SUM(H$2:H5))))</f>
        <v/>
      </c>
      <c r="I6">
        <f>IF(C6="","",C6-H6)</f>
        <v/>
      </c>
      <c r="J6">
        <f>IF(I6="","",I6*D6)</f>
        <v/>
      </c>
      <c r="L6" s="13" t="inlineStr">
        <is>
          <t>2. Sell transactions consume from oldest lots first</t>
        </is>
      </c>
    </row>
    <row r="7">
      <c r="A7">
        <f>IFERROR(INDEX(SORT(FILTER(Transactions!$B:$B,(Transactions!$C:$C="Buy")*(Transactions!$B:$B&lt;&gt;"")),1,1),6),"")</f>
        <v/>
      </c>
      <c r="B7">
        <f>IF(A7="","",INDEX(SORT(FILTER(Transactions!$A:$G,(Transactions!$C:$C="Buy")*(Transactions!$B:$B&lt;&gt;"")),2,1),6,1))</f>
        <v/>
      </c>
      <c r="C7">
        <f>IF(A7="","",INDEX(SORT(FILTER(Transactions!$A:$G,(Transactions!$C:$C="Buy")*(Transactions!$B:$B&lt;&gt;"")),2,1),6,4))</f>
        <v/>
      </c>
      <c r="D7">
        <f>IF(A7="","",INDEX(SORT(FILTER(Transactions!$A:$G,(Transactions!$C:$C="Buy")*(Transactions!$B:$B&lt;&gt;"")),2,1),6,5))</f>
        <v/>
      </c>
      <c r="E7">
        <f>IF(C7="","",C7*D7)</f>
        <v/>
      </c>
      <c r="F7">
        <f>IF(A7="","",SUMIFS(C$2:C7,A$2:A7,A7,B$2:B7,"&lt;="&amp;B7))</f>
        <v/>
      </c>
      <c r="G7">
        <f>IF(A7="","",SUMIFS(Transactions!$D:$D,Transactions!$B:$B,A7,Transactions!$C:$C,"Sell"))</f>
        <v/>
      </c>
      <c r="H7">
        <f>IF(A7="","",MAX(0,MIN(C7,G7-SUM(H$2:H6))))</f>
        <v/>
      </c>
      <c r="I7">
        <f>IF(C7="","",C7-H7)</f>
        <v/>
      </c>
      <c r="J7">
        <f>IF(I7="","",I7*D7)</f>
        <v/>
      </c>
      <c r="L7" s="13" t="inlineStr">
        <is>
          <t>3. Remaining Qty shows unsold shares from each lot</t>
        </is>
      </c>
    </row>
    <row r="8">
      <c r="A8">
        <f>IFERROR(INDEX(SORT(FILTER(Transactions!$B:$B,(Transactions!$C:$C="Buy")*(Transactions!$B:$B&lt;&gt;"")),1,1),7),"")</f>
        <v/>
      </c>
      <c r="B8">
        <f>IF(A8="","",INDEX(SORT(FILTER(Transactions!$A:$G,(Transactions!$C:$C="Buy")*(Transactions!$B:$B&lt;&gt;"")),2,1),7,1))</f>
        <v/>
      </c>
      <c r="C8">
        <f>IF(A8="","",INDEX(SORT(FILTER(Transactions!$A:$G,(Transactions!$C:$C="Buy")*(Transactions!$B:$B&lt;&gt;"")),2,1),7,4))</f>
        <v/>
      </c>
      <c r="D8">
        <f>IF(A8="","",INDEX(SORT(FILTER(Transactions!$A:$G,(Transactions!$C:$C="Buy")*(Transactions!$B:$B&lt;&gt;"")),2,1),7,5))</f>
        <v/>
      </c>
      <c r="E8">
        <f>IF(C8="","",C8*D8)</f>
        <v/>
      </c>
      <c r="F8">
        <f>IF(A8="","",SUMIFS(C$2:C8,A$2:A8,A8,B$2:B8,"&lt;="&amp;B8))</f>
        <v/>
      </c>
      <c r="G8">
        <f>IF(A8="","",SUMIFS(Transactions!$D:$D,Transactions!$B:$B,A8,Transactions!$C:$C,"Sell"))</f>
        <v/>
      </c>
      <c r="H8">
        <f>IF(A8="","",MAX(0,MIN(C8,G8-SUM(H$2:H7))))</f>
        <v/>
      </c>
      <c r="I8">
        <f>IF(C8="","",C8-H8)</f>
        <v/>
      </c>
      <c r="J8">
        <f>IF(I8="","",I8*D8)</f>
        <v/>
      </c>
      <c r="L8" s="13" t="inlineStr">
        <is>
          <t>4. Remaining Value = Remaining Qty × Original Buy Price</t>
        </is>
      </c>
    </row>
    <row r="9">
      <c r="A9">
        <f>IFERROR(INDEX(SORT(FILTER(Transactions!$B:$B,(Transactions!$C:$C="Buy")*(Transactions!$B:$B&lt;&gt;"")),1,1),8),"")</f>
        <v/>
      </c>
      <c r="B9">
        <f>IF(A9="","",INDEX(SORT(FILTER(Transactions!$A:$G,(Transactions!$C:$C="Buy")*(Transactions!$B:$B&lt;&gt;"")),2,1),8,1))</f>
        <v/>
      </c>
      <c r="C9">
        <f>IF(A9="","",INDEX(SORT(FILTER(Transactions!$A:$G,(Transactions!$C:$C="Buy")*(Transactions!$B:$B&lt;&gt;"")),2,1),8,4))</f>
        <v/>
      </c>
      <c r="D9">
        <f>IF(A9="","",INDEX(SORT(FILTER(Transactions!$A:$G,(Transactions!$C:$C="Buy")*(Transactions!$B:$B&lt;&gt;"")),2,1),8,5))</f>
        <v/>
      </c>
      <c r="E9">
        <f>IF(C9="","",C9*D9)</f>
        <v/>
      </c>
      <c r="F9">
        <f>IF(A9="","",SUMIFS(C$2:C9,A$2:A9,A9,B$2:B9,"&lt;="&amp;B9))</f>
        <v/>
      </c>
      <c r="G9">
        <f>IF(A9="","",SUMIFS(Transactions!$D:$D,Transactions!$B:$B,A9,Transactions!$C:$C,"Sell"))</f>
        <v/>
      </c>
      <c r="H9">
        <f>IF(A9="","",MAX(0,MIN(C9,G9-SUM(H$2:H8))))</f>
        <v/>
      </c>
      <c r="I9">
        <f>IF(C9="","",C9-H9)</f>
        <v/>
      </c>
      <c r="J9">
        <f>IF(I9="","",I9*D9)</f>
        <v/>
      </c>
    </row>
    <row r="10">
      <c r="A10">
        <f>IFERROR(INDEX(SORT(FILTER(Transactions!$B:$B,(Transactions!$C:$C="Buy")*(Transactions!$B:$B&lt;&gt;"")),1,1),9),"")</f>
        <v/>
      </c>
      <c r="B10">
        <f>IF(A10="","",INDEX(SORT(FILTER(Transactions!$A:$G,(Transactions!$C:$C="Buy")*(Transactions!$B:$B&lt;&gt;"")),2,1),9,1))</f>
        <v/>
      </c>
      <c r="C10">
        <f>IF(A10="","",INDEX(SORT(FILTER(Transactions!$A:$G,(Transactions!$C:$C="Buy")*(Transactions!$B:$B&lt;&gt;"")),2,1),9,4))</f>
        <v/>
      </c>
      <c r="D10">
        <f>IF(A10="","",INDEX(SORT(FILTER(Transactions!$A:$G,(Transactions!$C:$C="Buy")*(Transactions!$B:$B&lt;&gt;"")),2,1),9,5))</f>
        <v/>
      </c>
      <c r="E10">
        <f>IF(C10="","",C10*D10)</f>
        <v/>
      </c>
      <c r="F10">
        <f>IF(A10="","",SUMIFS(C$2:C10,A$2:A10,A10,B$2:B10,"&lt;="&amp;B10))</f>
        <v/>
      </c>
      <c r="G10">
        <f>IF(A10="","",SUMIFS(Transactions!$D:$D,Transactions!$B:$B,A10,Transactions!$C:$C,"Sell"))</f>
        <v/>
      </c>
      <c r="H10">
        <f>IF(A10="","",MAX(0,MIN(C10,G10-SUM(H$2:H9))))</f>
        <v/>
      </c>
      <c r="I10">
        <f>IF(C10="","",C10-H10)</f>
        <v/>
      </c>
      <c r="J10">
        <f>IF(I10="","",I10*D10)</f>
        <v/>
      </c>
    </row>
    <row r="11">
      <c r="A11">
        <f>IFERROR(INDEX(SORT(FILTER(Transactions!$B:$B,(Transactions!$C:$C="Buy")*(Transactions!$B:$B&lt;&gt;"")),1,1),10),"")</f>
        <v/>
      </c>
      <c r="B11">
        <f>IF(A11="","",INDEX(SORT(FILTER(Transactions!$A:$G,(Transactions!$C:$C="Buy")*(Transactions!$B:$B&lt;&gt;"")),2,1),10,1))</f>
        <v/>
      </c>
      <c r="C11">
        <f>IF(A11="","",INDEX(SORT(FILTER(Transactions!$A:$G,(Transactions!$C:$C="Buy")*(Transactions!$B:$B&lt;&gt;"")),2,1),10,4))</f>
        <v/>
      </c>
      <c r="D11">
        <f>IF(A11="","",INDEX(SORT(FILTER(Transactions!$A:$G,(Transactions!$C:$C="Buy")*(Transactions!$B:$B&lt;&gt;"")),2,1),10,5))</f>
        <v/>
      </c>
      <c r="E11">
        <f>IF(C11="","",C11*D11)</f>
        <v/>
      </c>
      <c r="F11">
        <f>IF(A11="","",SUMIFS(C$2:C11,A$2:A11,A11,B$2:B11,"&lt;="&amp;B11))</f>
        <v/>
      </c>
      <c r="G11">
        <f>IF(A11="","",SUMIFS(Transactions!$D:$D,Transactions!$B:$B,A11,Transactions!$C:$C,"Sell"))</f>
        <v/>
      </c>
      <c r="H11">
        <f>IF(A11="","",MAX(0,MIN(C11,G11-SUM(H$2:H10))))</f>
        <v/>
      </c>
      <c r="I11">
        <f>IF(C11="","",C11-H11)</f>
        <v/>
      </c>
      <c r="J11">
        <f>IF(I11="","",I11*D11)</f>
        <v/>
      </c>
    </row>
    <row r="12">
      <c r="A12">
        <f>IFERROR(INDEX(SORT(FILTER(Transactions!$B:$B,(Transactions!$C:$C="Buy")*(Transactions!$B:$B&lt;&gt;"")),1,1),11),"")</f>
        <v/>
      </c>
      <c r="B12">
        <f>IF(A12="","",INDEX(SORT(FILTER(Transactions!$A:$G,(Transactions!$C:$C="Buy")*(Transactions!$B:$B&lt;&gt;"")),2,1),11,1))</f>
        <v/>
      </c>
      <c r="C12">
        <f>IF(A12="","",INDEX(SORT(FILTER(Transactions!$A:$G,(Transactions!$C:$C="Buy")*(Transactions!$B:$B&lt;&gt;"")),2,1),11,4))</f>
        <v/>
      </c>
      <c r="D12">
        <f>IF(A12="","",INDEX(SORT(FILTER(Transactions!$A:$G,(Transactions!$C:$C="Buy")*(Transactions!$B:$B&lt;&gt;"")),2,1),11,5))</f>
        <v/>
      </c>
      <c r="E12">
        <f>IF(C12="","",C12*D12)</f>
        <v/>
      </c>
      <c r="F12">
        <f>IF(A12="","",SUMIFS(C$2:C12,A$2:A12,A12,B$2:B12,"&lt;="&amp;B12))</f>
        <v/>
      </c>
      <c r="G12">
        <f>IF(A12="","",SUMIFS(Transactions!$D:$D,Transactions!$B:$B,A12,Transactions!$C:$C,"Sell"))</f>
        <v/>
      </c>
      <c r="H12">
        <f>IF(A12="","",MAX(0,MIN(C12,G12-SUM(H$2:H11))))</f>
        <v/>
      </c>
      <c r="I12">
        <f>IF(C12="","",C12-H12)</f>
        <v/>
      </c>
      <c r="J12">
        <f>IF(I12="","",I12*D12)</f>
        <v/>
      </c>
    </row>
    <row r="13">
      <c r="A13">
        <f>IFERROR(INDEX(SORT(FILTER(Transactions!$B:$B,(Transactions!$C:$C="Buy")*(Transactions!$B:$B&lt;&gt;"")),1,1),12),"")</f>
        <v/>
      </c>
      <c r="B13">
        <f>IF(A13="","",INDEX(SORT(FILTER(Transactions!$A:$G,(Transactions!$C:$C="Buy")*(Transactions!$B:$B&lt;&gt;"")),2,1),12,1))</f>
        <v/>
      </c>
      <c r="C13">
        <f>IF(A13="","",INDEX(SORT(FILTER(Transactions!$A:$G,(Transactions!$C:$C="Buy")*(Transactions!$B:$B&lt;&gt;"")),2,1),12,4))</f>
        <v/>
      </c>
      <c r="D13">
        <f>IF(A13="","",INDEX(SORT(FILTER(Transactions!$A:$G,(Transactions!$C:$C="Buy")*(Transactions!$B:$B&lt;&gt;"")),2,1),12,5))</f>
        <v/>
      </c>
      <c r="E13">
        <f>IF(C13="","",C13*D13)</f>
        <v/>
      </c>
      <c r="F13">
        <f>IF(A13="","",SUMIFS(C$2:C13,A$2:A13,A13,B$2:B13,"&lt;="&amp;B13))</f>
        <v/>
      </c>
      <c r="G13">
        <f>IF(A13="","",SUMIFS(Transactions!$D:$D,Transactions!$B:$B,A13,Transactions!$C:$C,"Sell"))</f>
        <v/>
      </c>
      <c r="H13">
        <f>IF(A13="","",MAX(0,MIN(C13,G13-SUM(H$2:H12))))</f>
        <v/>
      </c>
      <c r="I13">
        <f>IF(C13="","",C13-H13)</f>
        <v/>
      </c>
      <c r="J13">
        <f>IF(I13="","",I13*D13)</f>
        <v/>
      </c>
    </row>
    <row r="14">
      <c r="A14">
        <f>IFERROR(INDEX(SORT(FILTER(Transactions!$B:$B,(Transactions!$C:$C="Buy")*(Transactions!$B:$B&lt;&gt;"")),1,1),13),"")</f>
        <v/>
      </c>
      <c r="B14">
        <f>IF(A14="","",INDEX(SORT(FILTER(Transactions!$A:$G,(Transactions!$C:$C="Buy")*(Transactions!$B:$B&lt;&gt;"")),2,1),13,1))</f>
        <v/>
      </c>
      <c r="C14">
        <f>IF(A14="","",INDEX(SORT(FILTER(Transactions!$A:$G,(Transactions!$C:$C="Buy")*(Transactions!$B:$B&lt;&gt;"")),2,1),13,4))</f>
        <v/>
      </c>
      <c r="D14">
        <f>IF(A14="","",INDEX(SORT(FILTER(Transactions!$A:$G,(Transactions!$C:$C="Buy")*(Transactions!$B:$B&lt;&gt;"")),2,1),13,5))</f>
        <v/>
      </c>
      <c r="E14">
        <f>IF(C14="","",C14*D14)</f>
        <v/>
      </c>
      <c r="F14">
        <f>IF(A14="","",SUMIFS(C$2:C14,A$2:A14,A14,B$2:B14,"&lt;="&amp;B14))</f>
        <v/>
      </c>
      <c r="G14">
        <f>IF(A14="","",SUMIFS(Transactions!$D:$D,Transactions!$B:$B,A14,Transactions!$C:$C,"Sell"))</f>
        <v/>
      </c>
      <c r="H14">
        <f>IF(A14="","",MAX(0,MIN(C14,G14-SUM(H$2:H13))))</f>
        <v/>
      </c>
      <c r="I14">
        <f>IF(C14="","",C14-H14)</f>
        <v/>
      </c>
      <c r="J14">
        <f>IF(I14="","",I14*D14)</f>
        <v/>
      </c>
    </row>
    <row r="15">
      <c r="A15">
        <f>IFERROR(INDEX(SORT(FILTER(Transactions!$B:$B,(Transactions!$C:$C="Buy")*(Transactions!$B:$B&lt;&gt;"")),1,1),14),"")</f>
        <v/>
      </c>
      <c r="B15">
        <f>IF(A15="","",INDEX(SORT(FILTER(Transactions!$A:$G,(Transactions!$C:$C="Buy")*(Transactions!$B:$B&lt;&gt;"")),2,1),14,1))</f>
        <v/>
      </c>
      <c r="C15">
        <f>IF(A15="","",INDEX(SORT(FILTER(Transactions!$A:$G,(Transactions!$C:$C="Buy")*(Transactions!$B:$B&lt;&gt;"")),2,1),14,4))</f>
        <v/>
      </c>
      <c r="D15">
        <f>IF(A15="","",INDEX(SORT(FILTER(Transactions!$A:$G,(Transactions!$C:$C="Buy")*(Transactions!$B:$B&lt;&gt;"")),2,1),14,5))</f>
        <v/>
      </c>
      <c r="E15">
        <f>IF(C15="","",C15*D15)</f>
        <v/>
      </c>
      <c r="F15">
        <f>IF(A15="","",SUMIFS(C$2:C15,A$2:A15,A15,B$2:B15,"&lt;="&amp;B15))</f>
        <v/>
      </c>
      <c r="G15">
        <f>IF(A15="","",SUMIFS(Transactions!$D:$D,Transactions!$B:$B,A15,Transactions!$C:$C,"Sell"))</f>
        <v/>
      </c>
      <c r="H15">
        <f>IF(A15="","",MAX(0,MIN(C15,G15-SUM(H$2:H14))))</f>
        <v/>
      </c>
      <c r="I15">
        <f>IF(C15="","",C15-H15)</f>
        <v/>
      </c>
      <c r="J15">
        <f>IF(I15="","",I15*D15)</f>
        <v/>
      </c>
    </row>
    <row r="16">
      <c r="A16">
        <f>IFERROR(INDEX(SORT(FILTER(Transactions!$B:$B,(Transactions!$C:$C="Buy")*(Transactions!$B:$B&lt;&gt;"")),1,1),15),"")</f>
        <v/>
      </c>
      <c r="B16">
        <f>IF(A16="","",INDEX(SORT(FILTER(Transactions!$A:$G,(Transactions!$C:$C="Buy")*(Transactions!$B:$B&lt;&gt;"")),2,1),15,1))</f>
        <v/>
      </c>
      <c r="C16">
        <f>IF(A16="","",INDEX(SORT(FILTER(Transactions!$A:$G,(Transactions!$C:$C="Buy")*(Transactions!$B:$B&lt;&gt;"")),2,1),15,4))</f>
        <v/>
      </c>
      <c r="D16">
        <f>IF(A16="","",INDEX(SORT(FILTER(Transactions!$A:$G,(Transactions!$C:$C="Buy")*(Transactions!$B:$B&lt;&gt;"")),2,1),15,5))</f>
        <v/>
      </c>
      <c r="E16">
        <f>IF(C16="","",C16*D16)</f>
        <v/>
      </c>
      <c r="F16">
        <f>IF(A16="","",SUMIFS(C$2:C16,A$2:A16,A16,B$2:B16,"&lt;="&amp;B16))</f>
        <v/>
      </c>
      <c r="G16">
        <f>IF(A16="","",SUMIFS(Transactions!$D:$D,Transactions!$B:$B,A16,Transactions!$C:$C,"Sell"))</f>
        <v/>
      </c>
      <c r="H16">
        <f>IF(A16="","",MAX(0,MIN(C16,G16-SUM(H$2:H15))))</f>
        <v/>
      </c>
      <c r="I16">
        <f>IF(C16="","",C16-H16)</f>
        <v/>
      </c>
      <c r="J16">
        <f>IF(I16="","",I16*D16)</f>
        <v/>
      </c>
    </row>
    <row r="17">
      <c r="A17">
        <f>IFERROR(INDEX(SORT(FILTER(Transactions!$B:$B,(Transactions!$C:$C="Buy")*(Transactions!$B:$B&lt;&gt;"")),1,1),16),"")</f>
        <v/>
      </c>
      <c r="B17">
        <f>IF(A17="","",INDEX(SORT(FILTER(Transactions!$A:$G,(Transactions!$C:$C="Buy")*(Transactions!$B:$B&lt;&gt;"")),2,1),16,1))</f>
        <v/>
      </c>
      <c r="C17">
        <f>IF(A17="","",INDEX(SORT(FILTER(Transactions!$A:$G,(Transactions!$C:$C="Buy")*(Transactions!$B:$B&lt;&gt;"")),2,1),16,4))</f>
        <v/>
      </c>
      <c r="D17">
        <f>IF(A17="","",INDEX(SORT(FILTER(Transactions!$A:$G,(Transactions!$C:$C="Buy")*(Transactions!$B:$B&lt;&gt;"")),2,1),16,5))</f>
        <v/>
      </c>
      <c r="E17">
        <f>IF(C17="","",C17*D17)</f>
        <v/>
      </c>
      <c r="F17">
        <f>IF(A17="","",SUMIFS(C$2:C17,A$2:A17,A17,B$2:B17,"&lt;="&amp;B17))</f>
        <v/>
      </c>
      <c r="G17">
        <f>IF(A17="","",SUMIFS(Transactions!$D:$D,Transactions!$B:$B,A17,Transactions!$C:$C,"Sell"))</f>
        <v/>
      </c>
      <c r="H17">
        <f>IF(A17="","",MAX(0,MIN(C17,G17-SUM(H$2:H16))))</f>
        <v/>
      </c>
      <c r="I17">
        <f>IF(C17="","",C17-H17)</f>
        <v/>
      </c>
      <c r="J17">
        <f>IF(I17="","",I17*D17)</f>
        <v/>
      </c>
    </row>
    <row r="18">
      <c r="A18">
        <f>IFERROR(INDEX(SORT(FILTER(Transactions!$B:$B,(Transactions!$C:$C="Buy")*(Transactions!$B:$B&lt;&gt;"")),1,1),17),"")</f>
        <v/>
      </c>
      <c r="B18">
        <f>IF(A18="","",INDEX(SORT(FILTER(Transactions!$A:$G,(Transactions!$C:$C="Buy")*(Transactions!$B:$B&lt;&gt;"")),2,1),17,1))</f>
        <v/>
      </c>
      <c r="C18">
        <f>IF(A18="","",INDEX(SORT(FILTER(Transactions!$A:$G,(Transactions!$C:$C="Buy")*(Transactions!$B:$B&lt;&gt;"")),2,1),17,4))</f>
        <v/>
      </c>
      <c r="D18">
        <f>IF(A18="","",INDEX(SORT(FILTER(Transactions!$A:$G,(Transactions!$C:$C="Buy")*(Transactions!$B:$B&lt;&gt;"")),2,1),17,5))</f>
        <v/>
      </c>
      <c r="E18">
        <f>IF(C18="","",C18*D18)</f>
        <v/>
      </c>
      <c r="F18">
        <f>IF(A18="","",SUMIFS(C$2:C18,A$2:A18,A18,B$2:B18,"&lt;="&amp;B18))</f>
        <v/>
      </c>
      <c r="G18">
        <f>IF(A18="","",SUMIFS(Transactions!$D:$D,Transactions!$B:$B,A18,Transactions!$C:$C,"Sell"))</f>
        <v/>
      </c>
      <c r="H18">
        <f>IF(A18="","",MAX(0,MIN(C18,G18-SUM(H$2:H17))))</f>
        <v/>
      </c>
      <c r="I18">
        <f>IF(C18="","",C18-H18)</f>
        <v/>
      </c>
      <c r="J18">
        <f>IF(I18="","",I18*D18)</f>
        <v/>
      </c>
    </row>
    <row r="19">
      <c r="A19">
        <f>IFERROR(INDEX(SORT(FILTER(Transactions!$B:$B,(Transactions!$C:$C="Buy")*(Transactions!$B:$B&lt;&gt;"")),1,1),18),"")</f>
        <v/>
      </c>
      <c r="B19">
        <f>IF(A19="","",INDEX(SORT(FILTER(Transactions!$A:$G,(Transactions!$C:$C="Buy")*(Transactions!$B:$B&lt;&gt;"")),2,1),18,1))</f>
        <v/>
      </c>
      <c r="C19">
        <f>IF(A19="","",INDEX(SORT(FILTER(Transactions!$A:$G,(Transactions!$C:$C="Buy")*(Transactions!$B:$B&lt;&gt;"")),2,1),18,4))</f>
        <v/>
      </c>
      <c r="D19">
        <f>IF(A19="","",INDEX(SORT(FILTER(Transactions!$A:$G,(Transactions!$C:$C="Buy")*(Transactions!$B:$B&lt;&gt;"")),2,1),18,5))</f>
        <v/>
      </c>
      <c r="E19">
        <f>IF(C19="","",C19*D19)</f>
        <v/>
      </c>
      <c r="F19">
        <f>IF(A19="","",SUMIFS(C$2:C19,A$2:A19,A19,B$2:B19,"&lt;="&amp;B19))</f>
        <v/>
      </c>
      <c r="G19">
        <f>IF(A19="","",SUMIFS(Transactions!$D:$D,Transactions!$B:$B,A19,Transactions!$C:$C,"Sell"))</f>
        <v/>
      </c>
      <c r="H19">
        <f>IF(A19="","",MAX(0,MIN(C19,G19-SUM(H$2:H18))))</f>
        <v/>
      </c>
      <c r="I19">
        <f>IF(C19="","",C19-H19)</f>
        <v/>
      </c>
      <c r="J19">
        <f>IF(I19="","",I19*D19)</f>
        <v/>
      </c>
    </row>
    <row r="20">
      <c r="A20">
        <f>IFERROR(INDEX(SORT(FILTER(Transactions!$B:$B,(Transactions!$C:$C="Buy")*(Transactions!$B:$B&lt;&gt;"")),1,1),19),"")</f>
        <v/>
      </c>
      <c r="B20">
        <f>IF(A20="","",INDEX(SORT(FILTER(Transactions!$A:$G,(Transactions!$C:$C="Buy")*(Transactions!$B:$B&lt;&gt;"")),2,1),19,1))</f>
        <v/>
      </c>
      <c r="C20">
        <f>IF(A20="","",INDEX(SORT(FILTER(Transactions!$A:$G,(Transactions!$C:$C="Buy")*(Transactions!$B:$B&lt;&gt;"")),2,1),19,4))</f>
        <v/>
      </c>
      <c r="D20">
        <f>IF(A20="","",INDEX(SORT(FILTER(Transactions!$A:$G,(Transactions!$C:$C="Buy")*(Transactions!$B:$B&lt;&gt;"")),2,1),19,5))</f>
        <v/>
      </c>
      <c r="E20">
        <f>IF(C20="","",C20*D20)</f>
        <v/>
      </c>
      <c r="F20">
        <f>IF(A20="","",SUMIFS(C$2:C20,A$2:A20,A20,B$2:B20,"&lt;="&amp;B20))</f>
        <v/>
      </c>
      <c r="G20">
        <f>IF(A20="","",SUMIFS(Transactions!$D:$D,Transactions!$B:$B,A20,Transactions!$C:$C,"Sell"))</f>
        <v/>
      </c>
      <c r="H20">
        <f>IF(A20="","",MAX(0,MIN(C20,G20-SUM(H$2:H19))))</f>
        <v/>
      </c>
      <c r="I20">
        <f>IF(C20="","",C20-H20)</f>
        <v/>
      </c>
      <c r="J20">
        <f>IF(I20="","",I20*D20)</f>
        <v/>
      </c>
    </row>
    <row r="21">
      <c r="A21">
        <f>IFERROR(INDEX(SORT(FILTER(Transactions!$B:$B,(Transactions!$C:$C="Buy")*(Transactions!$B:$B&lt;&gt;"")),1,1),20),"")</f>
        <v/>
      </c>
      <c r="B21">
        <f>IF(A21="","",INDEX(SORT(FILTER(Transactions!$A:$G,(Transactions!$C:$C="Buy")*(Transactions!$B:$B&lt;&gt;"")),2,1),20,1))</f>
        <v/>
      </c>
      <c r="C21">
        <f>IF(A21="","",INDEX(SORT(FILTER(Transactions!$A:$G,(Transactions!$C:$C="Buy")*(Transactions!$B:$B&lt;&gt;"")),2,1),20,4))</f>
        <v/>
      </c>
      <c r="D21">
        <f>IF(A21="","",INDEX(SORT(FILTER(Transactions!$A:$G,(Transactions!$C:$C="Buy")*(Transactions!$B:$B&lt;&gt;"")),2,1),20,5))</f>
        <v/>
      </c>
      <c r="E21">
        <f>IF(C21="","",C21*D21)</f>
        <v/>
      </c>
      <c r="F21">
        <f>IF(A21="","",SUMIFS(C$2:C21,A$2:A21,A21,B$2:B21,"&lt;="&amp;B21))</f>
        <v/>
      </c>
      <c r="G21">
        <f>IF(A21="","",SUMIFS(Transactions!$D:$D,Transactions!$B:$B,A21,Transactions!$C:$C,"Sell"))</f>
        <v/>
      </c>
      <c r="H21">
        <f>IF(A21="","",MAX(0,MIN(C21,G21-SUM(H$2:H20))))</f>
        <v/>
      </c>
      <c r="I21">
        <f>IF(C21="","",C21-H21)</f>
        <v/>
      </c>
      <c r="J21">
        <f>IF(I21="","",I21*D21)</f>
        <v/>
      </c>
    </row>
    <row r="22">
      <c r="A22">
        <f>IFERROR(INDEX(SORT(FILTER(Transactions!$B:$B,(Transactions!$C:$C="Buy")*(Transactions!$B:$B&lt;&gt;"")),1,1),21),"")</f>
        <v/>
      </c>
      <c r="B22">
        <f>IF(A22="","",INDEX(SORT(FILTER(Transactions!$A:$G,(Transactions!$C:$C="Buy")*(Transactions!$B:$B&lt;&gt;"")),2,1),21,1))</f>
        <v/>
      </c>
      <c r="C22">
        <f>IF(A22="","",INDEX(SORT(FILTER(Transactions!$A:$G,(Transactions!$C:$C="Buy")*(Transactions!$B:$B&lt;&gt;"")),2,1),21,4))</f>
        <v/>
      </c>
      <c r="D22">
        <f>IF(A22="","",INDEX(SORT(FILTER(Transactions!$A:$G,(Transactions!$C:$C="Buy")*(Transactions!$B:$B&lt;&gt;"")),2,1),21,5))</f>
        <v/>
      </c>
      <c r="E22">
        <f>IF(C22="","",C22*D22)</f>
        <v/>
      </c>
      <c r="F22">
        <f>IF(A22="","",SUMIFS(C$2:C22,A$2:A22,A22,B$2:B22,"&lt;="&amp;B22))</f>
        <v/>
      </c>
      <c r="G22">
        <f>IF(A22="","",SUMIFS(Transactions!$D:$D,Transactions!$B:$B,A22,Transactions!$C:$C,"Sell"))</f>
        <v/>
      </c>
      <c r="H22">
        <f>IF(A22="","",MAX(0,MIN(C22,G22-SUM(H$2:H21))))</f>
        <v/>
      </c>
      <c r="I22">
        <f>IF(C22="","",C22-H22)</f>
        <v/>
      </c>
      <c r="J22">
        <f>IF(I22="","",I22*D22)</f>
        <v/>
      </c>
    </row>
    <row r="23">
      <c r="A23">
        <f>IFERROR(INDEX(SORT(FILTER(Transactions!$B:$B,(Transactions!$C:$C="Buy")*(Transactions!$B:$B&lt;&gt;"")),1,1),22),"")</f>
        <v/>
      </c>
      <c r="B23">
        <f>IF(A23="","",INDEX(SORT(FILTER(Transactions!$A:$G,(Transactions!$C:$C="Buy")*(Transactions!$B:$B&lt;&gt;"")),2,1),22,1))</f>
        <v/>
      </c>
      <c r="C23">
        <f>IF(A23="","",INDEX(SORT(FILTER(Transactions!$A:$G,(Transactions!$C:$C="Buy")*(Transactions!$B:$B&lt;&gt;"")),2,1),22,4))</f>
        <v/>
      </c>
      <c r="D23">
        <f>IF(A23="","",INDEX(SORT(FILTER(Transactions!$A:$G,(Transactions!$C:$C="Buy")*(Transactions!$B:$B&lt;&gt;"")),2,1),22,5))</f>
        <v/>
      </c>
      <c r="E23">
        <f>IF(C23="","",C23*D23)</f>
        <v/>
      </c>
      <c r="F23">
        <f>IF(A23="","",SUMIFS(C$2:C23,A$2:A23,A23,B$2:B23,"&lt;="&amp;B23))</f>
        <v/>
      </c>
      <c r="G23">
        <f>IF(A23="","",SUMIFS(Transactions!$D:$D,Transactions!$B:$B,A23,Transactions!$C:$C,"Sell"))</f>
        <v/>
      </c>
      <c r="H23">
        <f>IF(A23="","",MAX(0,MIN(C23,G23-SUM(H$2:H22))))</f>
        <v/>
      </c>
      <c r="I23">
        <f>IF(C23="","",C23-H23)</f>
        <v/>
      </c>
      <c r="J23">
        <f>IF(I23="","",I23*D23)</f>
        <v/>
      </c>
    </row>
    <row r="24">
      <c r="A24">
        <f>IFERROR(INDEX(SORT(FILTER(Transactions!$B:$B,(Transactions!$C:$C="Buy")*(Transactions!$B:$B&lt;&gt;"")),1,1),23),"")</f>
        <v/>
      </c>
      <c r="B24">
        <f>IF(A24="","",INDEX(SORT(FILTER(Transactions!$A:$G,(Transactions!$C:$C="Buy")*(Transactions!$B:$B&lt;&gt;"")),2,1),23,1))</f>
        <v/>
      </c>
      <c r="C24">
        <f>IF(A24="","",INDEX(SORT(FILTER(Transactions!$A:$G,(Transactions!$C:$C="Buy")*(Transactions!$B:$B&lt;&gt;"")),2,1),23,4))</f>
        <v/>
      </c>
      <c r="D24">
        <f>IF(A24="","",INDEX(SORT(FILTER(Transactions!$A:$G,(Transactions!$C:$C="Buy")*(Transactions!$B:$B&lt;&gt;"")),2,1),23,5))</f>
        <v/>
      </c>
      <c r="E24">
        <f>IF(C24="","",C24*D24)</f>
        <v/>
      </c>
      <c r="F24">
        <f>IF(A24="","",SUMIFS(C$2:C24,A$2:A24,A24,B$2:B24,"&lt;="&amp;B24))</f>
        <v/>
      </c>
      <c r="G24">
        <f>IF(A24="","",SUMIFS(Transactions!$D:$D,Transactions!$B:$B,A24,Transactions!$C:$C,"Sell"))</f>
        <v/>
      </c>
      <c r="H24">
        <f>IF(A24="","",MAX(0,MIN(C24,G24-SUM(H$2:H23))))</f>
        <v/>
      </c>
      <c r="I24">
        <f>IF(C24="","",C24-H24)</f>
        <v/>
      </c>
      <c r="J24">
        <f>IF(I24="","",I24*D24)</f>
        <v/>
      </c>
    </row>
    <row r="25">
      <c r="A25">
        <f>IFERROR(INDEX(SORT(FILTER(Transactions!$B:$B,(Transactions!$C:$C="Buy")*(Transactions!$B:$B&lt;&gt;"")),1,1),24),"")</f>
        <v/>
      </c>
      <c r="B25">
        <f>IF(A25="","",INDEX(SORT(FILTER(Transactions!$A:$G,(Transactions!$C:$C="Buy")*(Transactions!$B:$B&lt;&gt;"")),2,1),24,1))</f>
        <v/>
      </c>
      <c r="C25">
        <f>IF(A25="","",INDEX(SORT(FILTER(Transactions!$A:$G,(Transactions!$C:$C="Buy")*(Transactions!$B:$B&lt;&gt;"")),2,1),24,4))</f>
        <v/>
      </c>
      <c r="D25">
        <f>IF(A25="","",INDEX(SORT(FILTER(Transactions!$A:$G,(Transactions!$C:$C="Buy")*(Transactions!$B:$B&lt;&gt;"")),2,1),24,5))</f>
        <v/>
      </c>
      <c r="E25">
        <f>IF(C25="","",C25*D25)</f>
        <v/>
      </c>
      <c r="F25">
        <f>IF(A25="","",SUMIFS(C$2:C25,A$2:A25,A25,B$2:B25,"&lt;="&amp;B25))</f>
        <v/>
      </c>
      <c r="G25">
        <f>IF(A25="","",SUMIFS(Transactions!$D:$D,Transactions!$B:$B,A25,Transactions!$C:$C,"Sell"))</f>
        <v/>
      </c>
      <c r="H25">
        <f>IF(A25="","",MAX(0,MIN(C25,G25-SUM(H$2:H24))))</f>
        <v/>
      </c>
      <c r="I25">
        <f>IF(C25="","",C25-H25)</f>
        <v/>
      </c>
      <c r="J25">
        <f>IF(I25="","",I25*D25)</f>
        <v/>
      </c>
    </row>
    <row r="26">
      <c r="A26">
        <f>IFERROR(INDEX(SORT(FILTER(Transactions!$B:$B,(Transactions!$C:$C="Buy")*(Transactions!$B:$B&lt;&gt;"")),1,1),25),"")</f>
        <v/>
      </c>
      <c r="B26">
        <f>IF(A26="","",INDEX(SORT(FILTER(Transactions!$A:$G,(Transactions!$C:$C="Buy")*(Transactions!$B:$B&lt;&gt;"")),2,1),25,1))</f>
        <v/>
      </c>
      <c r="C26">
        <f>IF(A26="","",INDEX(SORT(FILTER(Transactions!$A:$G,(Transactions!$C:$C="Buy")*(Transactions!$B:$B&lt;&gt;"")),2,1),25,4))</f>
        <v/>
      </c>
      <c r="D26">
        <f>IF(A26="","",INDEX(SORT(FILTER(Transactions!$A:$G,(Transactions!$C:$C="Buy")*(Transactions!$B:$B&lt;&gt;"")),2,1),25,5))</f>
        <v/>
      </c>
      <c r="E26">
        <f>IF(C26="","",C26*D26)</f>
        <v/>
      </c>
      <c r="F26">
        <f>IF(A26="","",SUMIFS(C$2:C26,A$2:A26,A26,B$2:B26,"&lt;="&amp;B26))</f>
        <v/>
      </c>
      <c r="G26">
        <f>IF(A26="","",SUMIFS(Transactions!$D:$D,Transactions!$B:$B,A26,Transactions!$C:$C,"Sell"))</f>
        <v/>
      </c>
      <c r="H26">
        <f>IF(A26="","",MAX(0,MIN(C26,G26-SUM(H$2:H25))))</f>
        <v/>
      </c>
      <c r="I26">
        <f>IF(C26="","",C26-H26)</f>
        <v/>
      </c>
      <c r="J26">
        <f>IF(I26="","",I26*D26)</f>
        <v/>
      </c>
    </row>
    <row r="27">
      <c r="A27">
        <f>IFERROR(INDEX(SORT(FILTER(Transactions!$B:$B,(Transactions!$C:$C="Buy")*(Transactions!$B:$B&lt;&gt;"")),1,1),26),"")</f>
        <v/>
      </c>
      <c r="B27">
        <f>IF(A27="","",INDEX(SORT(FILTER(Transactions!$A:$G,(Transactions!$C:$C="Buy")*(Transactions!$B:$B&lt;&gt;"")),2,1),26,1))</f>
        <v/>
      </c>
      <c r="C27">
        <f>IF(A27="","",INDEX(SORT(FILTER(Transactions!$A:$G,(Transactions!$C:$C="Buy")*(Transactions!$B:$B&lt;&gt;"")),2,1),26,4))</f>
        <v/>
      </c>
      <c r="D27">
        <f>IF(A27="","",INDEX(SORT(FILTER(Transactions!$A:$G,(Transactions!$C:$C="Buy")*(Transactions!$B:$B&lt;&gt;"")),2,1),26,5))</f>
        <v/>
      </c>
      <c r="E27">
        <f>IF(C27="","",C27*D27)</f>
        <v/>
      </c>
      <c r="F27">
        <f>IF(A27="","",SUMIFS(C$2:C27,A$2:A27,A27,B$2:B27,"&lt;="&amp;B27))</f>
        <v/>
      </c>
      <c r="G27">
        <f>IF(A27="","",SUMIFS(Transactions!$D:$D,Transactions!$B:$B,A27,Transactions!$C:$C,"Sell"))</f>
        <v/>
      </c>
      <c r="H27">
        <f>IF(A27="","",MAX(0,MIN(C27,G27-SUM(H$2:H26))))</f>
        <v/>
      </c>
      <c r="I27">
        <f>IF(C27="","",C27-H27)</f>
        <v/>
      </c>
      <c r="J27">
        <f>IF(I27="","",I27*D27)</f>
        <v/>
      </c>
    </row>
    <row r="28">
      <c r="A28">
        <f>IFERROR(INDEX(SORT(FILTER(Transactions!$B:$B,(Transactions!$C:$C="Buy")*(Transactions!$B:$B&lt;&gt;"")),1,1),27),"")</f>
        <v/>
      </c>
      <c r="B28">
        <f>IF(A28="","",INDEX(SORT(FILTER(Transactions!$A:$G,(Transactions!$C:$C="Buy")*(Transactions!$B:$B&lt;&gt;"")),2,1),27,1))</f>
        <v/>
      </c>
      <c r="C28">
        <f>IF(A28="","",INDEX(SORT(FILTER(Transactions!$A:$G,(Transactions!$C:$C="Buy")*(Transactions!$B:$B&lt;&gt;"")),2,1),27,4))</f>
        <v/>
      </c>
      <c r="D28">
        <f>IF(A28="","",INDEX(SORT(FILTER(Transactions!$A:$G,(Transactions!$C:$C="Buy")*(Transactions!$B:$B&lt;&gt;"")),2,1),27,5))</f>
        <v/>
      </c>
      <c r="E28">
        <f>IF(C28="","",C28*D28)</f>
        <v/>
      </c>
      <c r="F28">
        <f>IF(A28="","",SUMIFS(C$2:C28,A$2:A28,A28,B$2:B28,"&lt;="&amp;B28))</f>
        <v/>
      </c>
      <c r="G28">
        <f>IF(A28="","",SUMIFS(Transactions!$D:$D,Transactions!$B:$B,A28,Transactions!$C:$C,"Sell"))</f>
        <v/>
      </c>
      <c r="H28">
        <f>IF(A28="","",MAX(0,MIN(C28,G28-SUM(H$2:H27))))</f>
        <v/>
      </c>
      <c r="I28">
        <f>IF(C28="","",C28-H28)</f>
        <v/>
      </c>
      <c r="J28">
        <f>IF(I28="","",I28*D28)</f>
        <v/>
      </c>
    </row>
    <row r="29">
      <c r="A29">
        <f>IFERROR(INDEX(SORT(FILTER(Transactions!$B:$B,(Transactions!$C:$C="Buy")*(Transactions!$B:$B&lt;&gt;"")),1,1),28),"")</f>
        <v/>
      </c>
      <c r="B29">
        <f>IF(A29="","",INDEX(SORT(FILTER(Transactions!$A:$G,(Transactions!$C:$C="Buy")*(Transactions!$B:$B&lt;&gt;"")),2,1),28,1))</f>
        <v/>
      </c>
      <c r="C29">
        <f>IF(A29="","",INDEX(SORT(FILTER(Transactions!$A:$G,(Transactions!$C:$C="Buy")*(Transactions!$B:$B&lt;&gt;"")),2,1),28,4))</f>
        <v/>
      </c>
      <c r="D29">
        <f>IF(A29="","",INDEX(SORT(FILTER(Transactions!$A:$G,(Transactions!$C:$C="Buy")*(Transactions!$B:$B&lt;&gt;"")),2,1),28,5))</f>
        <v/>
      </c>
      <c r="E29">
        <f>IF(C29="","",C29*D29)</f>
        <v/>
      </c>
      <c r="F29">
        <f>IF(A29="","",SUMIFS(C$2:C29,A$2:A29,A29,B$2:B29,"&lt;="&amp;B29))</f>
        <v/>
      </c>
      <c r="G29">
        <f>IF(A29="","",SUMIFS(Transactions!$D:$D,Transactions!$B:$B,A29,Transactions!$C:$C,"Sell"))</f>
        <v/>
      </c>
      <c r="H29">
        <f>IF(A29="","",MAX(0,MIN(C29,G29-SUM(H$2:H28))))</f>
        <v/>
      </c>
      <c r="I29">
        <f>IF(C29="","",C29-H29)</f>
        <v/>
      </c>
      <c r="J29">
        <f>IF(I29="","",I29*D29)</f>
        <v/>
      </c>
    </row>
    <row r="30">
      <c r="A30">
        <f>IFERROR(INDEX(SORT(FILTER(Transactions!$B:$B,(Transactions!$C:$C="Buy")*(Transactions!$B:$B&lt;&gt;"")),1,1),29),"")</f>
        <v/>
      </c>
      <c r="B30">
        <f>IF(A30="","",INDEX(SORT(FILTER(Transactions!$A:$G,(Transactions!$C:$C="Buy")*(Transactions!$B:$B&lt;&gt;"")),2,1),29,1))</f>
        <v/>
      </c>
      <c r="C30">
        <f>IF(A30="","",INDEX(SORT(FILTER(Transactions!$A:$G,(Transactions!$C:$C="Buy")*(Transactions!$B:$B&lt;&gt;"")),2,1),29,4))</f>
        <v/>
      </c>
      <c r="D30">
        <f>IF(A30="","",INDEX(SORT(FILTER(Transactions!$A:$G,(Transactions!$C:$C="Buy")*(Transactions!$B:$B&lt;&gt;"")),2,1),29,5))</f>
        <v/>
      </c>
      <c r="E30">
        <f>IF(C30="","",C30*D30)</f>
        <v/>
      </c>
      <c r="F30">
        <f>IF(A30="","",SUMIFS(C$2:C30,A$2:A30,A30,B$2:B30,"&lt;="&amp;B30))</f>
        <v/>
      </c>
      <c r="G30">
        <f>IF(A30="","",SUMIFS(Transactions!$D:$D,Transactions!$B:$B,A30,Transactions!$C:$C,"Sell"))</f>
        <v/>
      </c>
      <c r="H30">
        <f>IF(A30="","",MAX(0,MIN(C30,G30-SUM(H$2:H29))))</f>
        <v/>
      </c>
      <c r="I30">
        <f>IF(C30="","",C30-H30)</f>
        <v/>
      </c>
      <c r="J30">
        <f>IF(I30="","",I30*D30)</f>
        <v/>
      </c>
    </row>
    <row r="31">
      <c r="A31">
        <f>IFERROR(INDEX(SORT(FILTER(Transactions!$B:$B,(Transactions!$C:$C="Buy")*(Transactions!$B:$B&lt;&gt;"")),1,1),30),"")</f>
        <v/>
      </c>
      <c r="B31">
        <f>IF(A31="","",INDEX(SORT(FILTER(Transactions!$A:$G,(Transactions!$C:$C="Buy")*(Transactions!$B:$B&lt;&gt;"")),2,1),30,1))</f>
        <v/>
      </c>
      <c r="C31">
        <f>IF(A31="","",INDEX(SORT(FILTER(Transactions!$A:$G,(Transactions!$C:$C="Buy")*(Transactions!$B:$B&lt;&gt;"")),2,1),30,4))</f>
        <v/>
      </c>
      <c r="D31">
        <f>IF(A31="","",INDEX(SORT(FILTER(Transactions!$A:$G,(Transactions!$C:$C="Buy")*(Transactions!$B:$B&lt;&gt;"")),2,1),30,5))</f>
        <v/>
      </c>
      <c r="E31">
        <f>IF(C31="","",C31*D31)</f>
        <v/>
      </c>
      <c r="F31">
        <f>IF(A31="","",SUMIFS(C$2:C31,A$2:A31,A31,B$2:B31,"&lt;="&amp;B31))</f>
        <v/>
      </c>
      <c r="G31">
        <f>IF(A31="","",SUMIFS(Transactions!$D:$D,Transactions!$B:$B,A31,Transactions!$C:$C,"Sell"))</f>
        <v/>
      </c>
      <c r="H31">
        <f>IF(A31="","",MAX(0,MIN(C31,G31-SUM(H$2:H30))))</f>
        <v/>
      </c>
      <c r="I31">
        <f>IF(C31="","",C31-H31)</f>
        <v/>
      </c>
      <c r="J31">
        <f>IF(I31="","",I31*D31)</f>
        <v/>
      </c>
    </row>
    <row r="32">
      <c r="A32">
        <f>IFERROR(INDEX(SORT(FILTER(Transactions!$B:$B,(Transactions!$C:$C="Buy")*(Transactions!$B:$B&lt;&gt;"")),1,1),31),"")</f>
        <v/>
      </c>
      <c r="B32">
        <f>IF(A32="","",INDEX(SORT(FILTER(Transactions!$A:$G,(Transactions!$C:$C="Buy")*(Transactions!$B:$B&lt;&gt;"")),2,1),31,1))</f>
        <v/>
      </c>
      <c r="C32">
        <f>IF(A32="","",INDEX(SORT(FILTER(Transactions!$A:$G,(Transactions!$C:$C="Buy")*(Transactions!$B:$B&lt;&gt;"")),2,1),31,4))</f>
        <v/>
      </c>
      <c r="D32">
        <f>IF(A32="","",INDEX(SORT(FILTER(Transactions!$A:$G,(Transactions!$C:$C="Buy")*(Transactions!$B:$B&lt;&gt;"")),2,1),31,5))</f>
        <v/>
      </c>
      <c r="E32">
        <f>IF(C32="","",C32*D32)</f>
        <v/>
      </c>
      <c r="F32">
        <f>IF(A32="","",SUMIFS(C$2:C32,A$2:A32,A32,B$2:B32,"&lt;="&amp;B32))</f>
        <v/>
      </c>
      <c r="G32">
        <f>IF(A32="","",SUMIFS(Transactions!$D:$D,Transactions!$B:$B,A32,Transactions!$C:$C,"Sell"))</f>
        <v/>
      </c>
      <c r="H32">
        <f>IF(A32="","",MAX(0,MIN(C32,G32-SUM(H$2:H31))))</f>
        <v/>
      </c>
      <c r="I32">
        <f>IF(C32="","",C32-H32)</f>
        <v/>
      </c>
      <c r="J32">
        <f>IF(I32="","",I32*D32)</f>
        <v/>
      </c>
    </row>
    <row r="33">
      <c r="A33">
        <f>IFERROR(INDEX(SORT(FILTER(Transactions!$B:$B,(Transactions!$C:$C="Buy")*(Transactions!$B:$B&lt;&gt;"")),1,1),32),"")</f>
        <v/>
      </c>
      <c r="B33">
        <f>IF(A33="","",INDEX(SORT(FILTER(Transactions!$A:$G,(Transactions!$C:$C="Buy")*(Transactions!$B:$B&lt;&gt;"")),2,1),32,1))</f>
        <v/>
      </c>
      <c r="C33">
        <f>IF(A33="","",INDEX(SORT(FILTER(Transactions!$A:$G,(Transactions!$C:$C="Buy")*(Transactions!$B:$B&lt;&gt;"")),2,1),32,4))</f>
        <v/>
      </c>
      <c r="D33">
        <f>IF(A33="","",INDEX(SORT(FILTER(Transactions!$A:$G,(Transactions!$C:$C="Buy")*(Transactions!$B:$B&lt;&gt;"")),2,1),32,5))</f>
        <v/>
      </c>
      <c r="E33">
        <f>IF(C33="","",C33*D33)</f>
        <v/>
      </c>
      <c r="F33">
        <f>IF(A33="","",SUMIFS(C$2:C33,A$2:A33,A33,B$2:B33,"&lt;="&amp;B33))</f>
        <v/>
      </c>
      <c r="G33">
        <f>IF(A33="","",SUMIFS(Transactions!$D:$D,Transactions!$B:$B,A33,Transactions!$C:$C,"Sell"))</f>
        <v/>
      </c>
      <c r="H33">
        <f>IF(A33="","",MAX(0,MIN(C33,G33-SUM(H$2:H32))))</f>
        <v/>
      </c>
      <c r="I33">
        <f>IF(C33="","",C33-H33)</f>
        <v/>
      </c>
      <c r="J33">
        <f>IF(I33="","",I33*D33)</f>
        <v/>
      </c>
    </row>
    <row r="34">
      <c r="A34">
        <f>IFERROR(INDEX(SORT(FILTER(Transactions!$B:$B,(Transactions!$C:$C="Buy")*(Transactions!$B:$B&lt;&gt;"")),1,1),33),"")</f>
        <v/>
      </c>
      <c r="B34">
        <f>IF(A34="","",INDEX(SORT(FILTER(Transactions!$A:$G,(Transactions!$C:$C="Buy")*(Transactions!$B:$B&lt;&gt;"")),2,1),33,1))</f>
        <v/>
      </c>
      <c r="C34">
        <f>IF(A34="","",INDEX(SORT(FILTER(Transactions!$A:$G,(Transactions!$C:$C="Buy")*(Transactions!$B:$B&lt;&gt;"")),2,1),33,4))</f>
        <v/>
      </c>
      <c r="D34">
        <f>IF(A34="","",INDEX(SORT(FILTER(Transactions!$A:$G,(Transactions!$C:$C="Buy")*(Transactions!$B:$B&lt;&gt;"")),2,1),33,5))</f>
        <v/>
      </c>
      <c r="E34">
        <f>IF(C34="","",C34*D34)</f>
        <v/>
      </c>
      <c r="F34">
        <f>IF(A34="","",SUMIFS(C$2:C34,A$2:A34,A34,B$2:B34,"&lt;="&amp;B34))</f>
        <v/>
      </c>
      <c r="G34">
        <f>IF(A34="","",SUMIFS(Transactions!$D:$D,Transactions!$B:$B,A34,Transactions!$C:$C,"Sell"))</f>
        <v/>
      </c>
      <c r="H34">
        <f>IF(A34="","",MAX(0,MIN(C34,G34-SUM(H$2:H33))))</f>
        <v/>
      </c>
      <c r="I34">
        <f>IF(C34="","",C34-H34)</f>
        <v/>
      </c>
      <c r="J34">
        <f>IF(I34="","",I34*D34)</f>
        <v/>
      </c>
    </row>
    <row r="35">
      <c r="A35">
        <f>IFERROR(INDEX(SORT(FILTER(Transactions!$B:$B,(Transactions!$C:$C="Buy")*(Transactions!$B:$B&lt;&gt;"")),1,1),34),"")</f>
        <v/>
      </c>
      <c r="B35">
        <f>IF(A35="","",INDEX(SORT(FILTER(Transactions!$A:$G,(Transactions!$C:$C="Buy")*(Transactions!$B:$B&lt;&gt;"")),2,1),34,1))</f>
        <v/>
      </c>
      <c r="C35">
        <f>IF(A35="","",INDEX(SORT(FILTER(Transactions!$A:$G,(Transactions!$C:$C="Buy")*(Transactions!$B:$B&lt;&gt;"")),2,1),34,4))</f>
        <v/>
      </c>
      <c r="D35">
        <f>IF(A35="","",INDEX(SORT(FILTER(Transactions!$A:$G,(Transactions!$C:$C="Buy")*(Transactions!$B:$B&lt;&gt;"")),2,1),34,5))</f>
        <v/>
      </c>
      <c r="E35">
        <f>IF(C35="","",C35*D35)</f>
        <v/>
      </c>
      <c r="F35">
        <f>IF(A35="","",SUMIFS(C$2:C35,A$2:A35,A35,B$2:B35,"&lt;="&amp;B35))</f>
        <v/>
      </c>
      <c r="G35">
        <f>IF(A35="","",SUMIFS(Transactions!$D:$D,Transactions!$B:$B,A35,Transactions!$C:$C,"Sell"))</f>
        <v/>
      </c>
      <c r="H35">
        <f>IF(A35="","",MAX(0,MIN(C35,G35-SUM(H$2:H34))))</f>
        <v/>
      </c>
      <c r="I35">
        <f>IF(C35="","",C35-H35)</f>
        <v/>
      </c>
      <c r="J35">
        <f>IF(I35="","",I35*D35)</f>
        <v/>
      </c>
    </row>
    <row r="36">
      <c r="A36">
        <f>IFERROR(INDEX(SORT(FILTER(Transactions!$B:$B,(Transactions!$C:$C="Buy")*(Transactions!$B:$B&lt;&gt;"")),1,1),35),"")</f>
        <v/>
      </c>
      <c r="B36">
        <f>IF(A36="","",INDEX(SORT(FILTER(Transactions!$A:$G,(Transactions!$C:$C="Buy")*(Transactions!$B:$B&lt;&gt;"")),2,1),35,1))</f>
        <v/>
      </c>
      <c r="C36">
        <f>IF(A36="","",INDEX(SORT(FILTER(Transactions!$A:$G,(Transactions!$C:$C="Buy")*(Transactions!$B:$B&lt;&gt;"")),2,1),35,4))</f>
        <v/>
      </c>
      <c r="D36">
        <f>IF(A36="","",INDEX(SORT(FILTER(Transactions!$A:$G,(Transactions!$C:$C="Buy")*(Transactions!$B:$B&lt;&gt;"")),2,1),35,5))</f>
        <v/>
      </c>
      <c r="E36">
        <f>IF(C36="","",C36*D36)</f>
        <v/>
      </c>
      <c r="F36">
        <f>IF(A36="","",SUMIFS(C$2:C36,A$2:A36,A36,B$2:B36,"&lt;="&amp;B36))</f>
        <v/>
      </c>
      <c r="G36">
        <f>IF(A36="","",SUMIFS(Transactions!$D:$D,Transactions!$B:$B,A36,Transactions!$C:$C,"Sell"))</f>
        <v/>
      </c>
      <c r="H36">
        <f>IF(A36="","",MAX(0,MIN(C36,G36-SUM(H$2:H35))))</f>
        <v/>
      </c>
      <c r="I36">
        <f>IF(C36="","",C36-H36)</f>
        <v/>
      </c>
      <c r="J36">
        <f>IF(I36="","",I36*D36)</f>
        <v/>
      </c>
    </row>
    <row r="37">
      <c r="A37">
        <f>IFERROR(INDEX(SORT(FILTER(Transactions!$B:$B,(Transactions!$C:$C="Buy")*(Transactions!$B:$B&lt;&gt;"")),1,1),36),"")</f>
        <v/>
      </c>
      <c r="B37">
        <f>IF(A37="","",INDEX(SORT(FILTER(Transactions!$A:$G,(Transactions!$C:$C="Buy")*(Transactions!$B:$B&lt;&gt;"")),2,1),36,1))</f>
        <v/>
      </c>
      <c r="C37">
        <f>IF(A37="","",INDEX(SORT(FILTER(Transactions!$A:$G,(Transactions!$C:$C="Buy")*(Transactions!$B:$B&lt;&gt;"")),2,1),36,4))</f>
        <v/>
      </c>
      <c r="D37">
        <f>IF(A37="","",INDEX(SORT(FILTER(Transactions!$A:$G,(Transactions!$C:$C="Buy")*(Transactions!$B:$B&lt;&gt;"")),2,1),36,5))</f>
        <v/>
      </c>
      <c r="E37">
        <f>IF(C37="","",C37*D37)</f>
        <v/>
      </c>
      <c r="F37">
        <f>IF(A37="","",SUMIFS(C$2:C37,A$2:A37,A37,B$2:B37,"&lt;="&amp;B37))</f>
        <v/>
      </c>
      <c r="G37">
        <f>IF(A37="","",SUMIFS(Transactions!$D:$D,Transactions!$B:$B,A37,Transactions!$C:$C,"Sell"))</f>
        <v/>
      </c>
      <c r="H37">
        <f>IF(A37="","",MAX(0,MIN(C37,G37-SUM(H$2:H36))))</f>
        <v/>
      </c>
      <c r="I37">
        <f>IF(C37="","",C37-H37)</f>
        <v/>
      </c>
      <c r="J37">
        <f>IF(I37="","",I37*D37)</f>
        <v/>
      </c>
    </row>
    <row r="38">
      <c r="A38">
        <f>IFERROR(INDEX(SORT(FILTER(Transactions!$B:$B,(Transactions!$C:$C="Buy")*(Transactions!$B:$B&lt;&gt;"")),1,1),37),"")</f>
        <v/>
      </c>
      <c r="B38">
        <f>IF(A38="","",INDEX(SORT(FILTER(Transactions!$A:$G,(Transactions!$C:$C="Buy")*(Transactions!$B:$B&lt;&gt;"")),2,1),37,1))</f>
        <v/>
      </c>
      <c r="C38">
        <f>IF(A38="","",INDEX(SORT(FILTER(Transactions!$A:$G,(Transactions!$C:$C="Buy")*(Transactions!$B:$B&lt;&gt;"")),2,1),37,4))</f>
        <v/>
      </c>
      <c r="D38">
        <f>IF(A38="","",INDEX(SORT(FILTER(Transactions!$A:$G,(Transactions!$C:$C="Buy")*(Transactions!$B:$B&lt;&gt;"")),2,1),37,5))</f>
        <v/>
      </c>
      <c r="E38">
        <f>IF(C38="","",C38*D38)</f>
        <v/>
      </c>
      <c r="F38">
        <f>IF(A38="","",SUMIFS(C$2:C38,A$2:A38,A38,B$2:B38,"&lt;="&amp;B38))</f>
        <v/>
      </c>
      <c r="G38">
        <f>IF(A38="","",SUMIFS(Transactions!$D:$D,Transactions!$B:$B,A38,Transactions!$C:$C,"Sell"))</f>
        <v/>
      </c>
      <c r="H38">
        <f>IF(A38="","",MAX(0,MIN(C38,G38-SUM(H$2:H37))))</f>
        <v/>
      </c>
      <c r="I38">
        <f>IF(C38="","",C38-H38)</f>
        <v/>
      </c>
      <c r="J38">
        <f>IF(I38="","",I38*D38)</f>
        <v/>
      </c>
    </row>
    <row r="39">
      <c r="A39">
        <f>IFERROR(INDEX(SORT(FILTER(Transactions!$B:$B,(Transactions!$C:$C="Buy")*(Transactions!$B:$B&lt;&gt;"")),1,1),38),"")</f>
        <v/>
      </c>
      <c r="B39">
        <f>IF(A39="","",INDEX(SORT(FILTER(Transactions!$A:$G,(Transactions!$C:$C="Buy")*(Transactions!$B:$B&lt;&gt;"")),2,1),38,1))</f>
        <v/>
      </c>
      <c r="C39">
        <f>IF(A39="","",INDEX(SORT(FILTER(Transactions!$A:$G,(Transactions!$C:$C="Buy")*(Transactions!$B:$B&lt;&gt;"")),2,1),38,4))</f>
        <v/>
      </c>
      <c r="D39">
        <f>IF(A39="","",INDEX(SORT(FILTER(Transactions!$A:$G,(Transactions!$C:$C="Buy")*(Transactions!$B:$B&lt;&gt;"")),2,1),38,5))</f>
        <v/>
      </c>
      <c r="E39">
        <f>IF(C39="","",C39*D39)</f>
        <v/>
      </c>
      <c r="F39">
        <f>IF(A39="","",SUMIFS(C$2:C39,A$2:A39,A39,B$2:B39,"&lt;="&amp;B39))</f>
        <v/>
      </c>
      <c r="G39">
        <f>IF(A39="","",SUMIFS(Transactions!$D:$D,Transactions!$B:$B,A39,Transactions!$C:$C,"Sell"))</f>
        <v/>
      </c>
      <c r="H39">
        <f>IF(A39="","",MAX(0,MIN(C39,G39-SUM(H$2:H38))))</f>
        <v/>
      </c>
      <c r="I39">
        <f>IF(C39="","",C39-H39)</f>
        <v/>
      </c>
      <c r="J39">
        <f>IF(I39="","",I39*D39)</f>
        <v/>
      </c>
    </row>
    <row r="40">
      <c r="A40">
        <f>IFERROR(INDEX(SORT(FILTER(Transactions!$B:$B,(Transactions!$C:$C="Buy")*(Transactions!$B:$B&lt;&gt;"")),1,1),39),"")</f>
        <v/>
      </c>
      <c r="B40">
        <f>IF(A40="","",INDEX(SORT(FILTER(Transactions!$A:$G,(Transactions!$C:$C="Buy")*(Transactions!$B:$B&lt;&gt;"")),2,1),39,1))</f>
        <v/>
      </c>
      <c r="C40">
        <f>IF(A40="","",INDEX(SORT(FILTER(Transactions!$A:$G,(Transactions!$C:$C="Buy")*(Transactions!$B:$B&lt;&gt;"")),2,1),39,4))</f>
        <v/>
      </c>
      <c r="D40">
        <f>IF(A40="","",INDEX(SORT(FILTER(Transactions!$A:$G,(Transactions!$C:$C="Buy")*(Transactions!$B:$B&lt;&gt;"")),2,1),39,5))</f>
        <v/>
      </c>
      <c r="E40">
        <f>IF(C40="","",C40*D40)</f>
        <v/>
      </c>
      <c r="F40">
        <f>IF(A40="","",SUMIFS(C$2:C40,A$2:A40,A40,B$2:B40,"&lt;="&amp;B40))</f>
        <v/>
      </c>
      <c r="G40">
        <f>IF(A40="","",SUMIFS(Transactions!$D:$D,Transactions!$B:$B,A40,Transactions!$C:$C,"Sell"))</f>
        <v/>
      </c>
      <c r="H40">
        <f>IF(A40="","",MAX(0,MIN(C40,G40-SUM(H$2:H39))))</f>
        <v/>
      </c>
      <c r="I40">
        <f>IF(C40="","",C40-H40)</f>
        <v/>
      </c>
      <c r="J40">
        <f>IF(I40="","",I40*D40)</f>
        <v/>
      </c>
    </row>
    <row r="41">
      <c r="A41">
        <f>IFERROR(INDEX(SORT(FILTER(Transactions!$B:$B,(Transactions!$C:$C="Buy")*(Transactions!$B:$B&lt;&gt;"")),1,1),40),"")</f>
        <v/>
      </c>
      <c r="B41">
        <f>IF(A41="","",INDEX(SORT(FILTER(Transactions!$A:$G,(Transactions!$C:$C="Buy")*(Transactions!$B:$B&lt;&gt;"")),2,1),40,1))</f>
        <v/>
      </c>
      <c r="C41">
        <f>IF(A41="","",INDEX(SORT(FILTER(Transactions!$A:$G,(Transactions!$C:$C="Buy")*(Transactions!$B:$B&lt;&gt;"")),2,1),40,4))</f>
        <v/>
      </c>
      <c r="D41">
        <f>IF(A41="","",INDEX(SORT(FILTER(Transactions!$A:$G,(Transactions!$C:$C="Buy")*(Transactions!$B:$B&lt;&gt;"")),2,1),40,5))</f>
        <v/>
      </c>
      <c r="E41">
        <f>IF(C41="","",C41*D41)</f>
        <v/>
      </c>
      <c r="F41">
        <f>IF(A41="","",SUMIFS(C$2:C41,A$2:A41,A41,B$2:B41,"&lt;="&amp;B41))</f>
        <v/>
      </c>
      <c r="G41">
        <f>IF(A41="","",SUMIFS(Transactions!$D:$D,Transactions!$B:$B,A41,Transactions!$C:$C,"Sell"))</f>
        <v/>
      </c>
      <c r="H41">
        <f>IF(A41="","",MAX(0,MIN(C41,G41-SUM(H$2:H40))))</f>
        <v/>
      </c>
      <c r="I41">
        <f>IF(C41="","",C41-H41)</f>
        <v/>
      </c>
      <c r="J41">
        <f>IF(I41="","",I41*D41)</f>
        <v/>
      </c>
    </row>
    <row r="42">
      <c r="A42">
        <f>IFERROR(INDEX(SORT(FILTER(Transactions!$B:$B,(Transactions!$C:$C="Buy")*(Transactions!$B:$B&lt;&gt;"")),1,1),41),"")</f>
        <v/>
      </c>
      <c r="B42">
        <f>IF(A42="","",INDEX(SORT(FILTER(Transactions!$A:$G,(Transactions!$C:$C="Buy")*(Transactions!$B:$B&lt;&gt;"")),2,1),41,1))</f>
        <v/>
      </c>
      <c r="C42">
        <f>IF(A42="","",INDEX(SORT(FILTER(Transactions!$A:$G,(Transactions!$C:$C="Buy")*(Transactions!$B:$B&lt;&gt;"")),2,1),41,4))</f>
        <v/>
      </c>
      <c r="D42">
        <f>IF(A42="","",INDEX(SORT(FILTER(Transactions!$A:$G,(Transactions!$C:$C="Buy")*(Transactions!$B:$B&lt;&gt;"")),2,1),41,5))</f>
        <v/>
      </c>
      <c r="E42">
        <f>IF(C42="","",C42*D42)</f>
        <v/>
      </c>
      <c r="F42">
        <f>IF(A42="","",SUMIFS(C$2:C42,A$2:A42,A42,B$2:B42,"&lt;="&amp;B42))</f>
        <v/>
      </c>
      <c r="G42">
        <f>IF(A42="","",SUMIFS(Transactions!$D:$D,Transactions!$B:$B,A42,Transactions!$C:$C,"Sell"))</f>
        <v/>
      </c>
      <c r="H42">
        <f>IF(A42="","",MAX(0,MIN(C42,G42-SUM(H$2:H41))))</f>
        <v/>
      </c>
      <c r="I42">
        <f>IF(C42="","",C42-H42)</f>
        <v/>
      </c>
      <c r="J42">
        <f>IF(I42="","",I42*D42)</f>
        <v/>
      </c>
    </row>
    <row r="43">
      <c r="A43">
        <f>IFERROR(INDEX(SORT(FILTER(Transactions!$B:$B,(Transactions!$C:$C="Buy")*(Transactions!$B:$B&lt;&gt;"")),1,1),42),"")</f>
        <v/>
      </c>
      <c r="B43">
        <f>IF(A43="","",INDEX(SORT(FILTER(Transactions!$A:$G,(Transactions!$C:$C="Buy")*(Transactions!$B:$B&lt;&gt;"")),2,1),42,1))</f>
        <v/>
      </c>
      <c r="C43">
        <f>IF(A43="","",INDEX(SORT(FILTER(Transactions!$A:$G,(Transactions!$C:$C="Buy")*(Transactions!$B:$B&lt;&gt;"")),2,1),42,4))</f>
        <v/>
      </c>
      <c r="D43">
        <f>IF(A43="","",INDEX(SORT(FILTER(Transactions!$A:$G,(Transactions!$C:$C="Buy")*(Transactions!$B:$B&lt;&gt;"")),2,1),42,5))</f>
        <v/>
      </c>
      <c r="E43">
        <f>IF(C43="","",C43*D43)</f>
        <v/>
      </c>
      <c r="F43">
        <f>IF(A43="","",SUMIFS(C$2:C43,A$2:A43,A43,B$2:B43,"&lt;="&amp;B43))</f>
        <v/>
      </c>
      <c r="G43">
        <f>IF(A43="","",SUMIFS(Transactions!$D:$D,Transactions!$B:$B,A43,Transactions!$C:$C,"Sell"))</f>
        <v/>
      </c>
      <c r="H43">
        <f>IF(A43="","",MAX(0,MIN(C43,G43-SUM(H$2:H42))))</f>
        <v/>
      </c>
      <c r="I43">
        <f>IF(C43="","",C43-H43)</f>
        <v/>
      </c>
      <c r="J43">
        <f>IF(I43="","",I43*D43)</f>
        <v/>
      </c>
    </row>
    <row r="44">
      <c r="A44">
        <f>IFERROR(INDEX(SORT(FILTER(Transactions!$B:$B,(Transactions!$C:$C="Buy")*(Transactions!$B:$B&lt;&gt;"")),1,1),43),"")</f>
        <v/>
      </c>
      <c r="B44">
        <f>IF(A44="","",INDEX(SORT(FILTER(Transactions!$A:$G,(Transactions!$C:$C="Buy")*(Transactions!$B:$B&lt;&gt;"")),2,1),43,1))</f>
        <v/>
      </c>
      <c r="C44">
        <f>IF(A44="","",INDEX(SORT(FILTER(Transactions!$A:$G,(Transactions!$C:$C="Buy")*(Transactions!$B:$B&lt;&gt;"")),2,1),43,4))</f>
        <v/>
      </c>
      <c r="D44">
        <f>IF(A44="","",INDEX(SORT(FILTER(Transactions!$A:$G,(Transactions!$C:$C="Buy")*(Transactions!$B:$B&lt;&gt;"")),2,1),43,5))</f>
        <v/>
      </c>
      <c r="E44">
        <f>IF(C44="","",C44*D44)</f>
        <v/>
      </c>
      <c r="F44">
        <f>IF(A44="","",SUMIFS(C$2:C44,A$2:A44,A44,B$2:B44,"&lt;="&amp;B44))</f>
        <v/>
      </c>
      <c r="G44">
        <f>IF(A44="","",SUMIFS(Transactions!$D:$D,Transactions!$B:$B,A44,Transactions!$C:$C,"Sell"))</f>
        <v/>
      </c>
      <c r="H44">
        <f>IF(A44="","",MAX(0,MIN(C44,G44-SUM(H$2:H43))))</f>
        <v/>
      </c>
      <c r="I44">
        <f>IF(C44="","",C44-H44)</f>
        <v/>
      </c>
      <c r="J44">
        <f>IF(I44="","",I44*D44)</f>
        <v/>
      </c>
    </row>
    <row r="45">
      <c r="A45">
        <f>IFERROR(INDEX(SORT(FILTER(Transactions!$B:$B,(Transactions!$C:$C="Buy")*(Transactions!$B:$B&lt;&gt;"")),1,1),44),"")</f>
        <v/>
      </c>
      <c r="B45">
        <f>IF(A45="","",INDEX(SORT(FILTER(Transactions!$A:$G,(Transactions!$C:$C="Buy")*(Transactions!$B:$B&lt;&gt;"")),2,1),44,1))</f>
        <v/>
      </c>
      <c r="C45">
        <f>IF(A45="","",INDEX(SORT(FILTER(Transactions!$A:$G,(Transactions!$C:$C="Buy")*(Transactions!$B:$B&lt;&gt;"")),2,1),44,4))</f>
        <v/>
      </c>
      <c r="D45">
        <f>IF(A45="","",INDEX(SORT(FILTER(Transactions!$A:$G,(Transactions!$C:$C="Buy")*(Transactions!$B:$B&lt;&gt;"")),2,1),44,5))</f>
        <v/>
      </c>
      <c r="E45">
        <f>IF(C45="","",C45*D45)</f>
        <v/>
      </c>
      <c r="F45">
        <f>IF(A45="","",SUMIFS(C$2:C45,A$2:A45,A45,B$2:B45,"&lt;="&amp;B45))</f>
        <v/>
      </c>
      <c r="G45">
        <f>IF(A45="","",SUMIFS(Transactions!$D:$D,Transactions!$B:$B,A45,Transactions!$C:$C,"Sell"))</f>
        <v/>
      </c>
      <c r="H45">
        <f>IF(A45="","",MAX(0,MIN(C45,G45-SUM(H$2:H44))))</f>
        <v/>
      </c>
      <c r="I45">
        <f>IF(C45="","",C45-H45)</f>
        <v/>
      </c>
      <c r="J45">
        <f>IF(I45="","",I45*D45)</f>
        <v/>
      </c>
    </row>
    <row r="46">
      <c r="A46">
        <f>IFERROR(INDEX(SORT(FILTER(Transactions!$B:$B,(Transactions!$C:$C="Buy")*(Transactions!$B:$B&lt;&gt;"")),1,1),45),"")</f>
        <v/>
      </c>
      <c r="B46">
        <f>IF(A46="","",INDEX(SORT(FILTER(Transactions!$A:$G,(Transactions!$C:$C="Buy")*(Transactions!$B:$B&lt;&gt;"")),2,1),45,1))</f>
        <v/>
      </c>
      <c r="C46">
        <f>IF(A46="","",INDEX(SORT(FILTER(Transactions!$A:$G,(Transactions!$C:$C="Buy")*(Transactions!$B:$B&lt;&gt;"")),2,1),45,4))</f>
        <v/>
      </c>
      <c r="D46">
        <f>IF(A46="","",INDEX(SORT(FILTER(Transactions!$A:$G,(Transactions!$C:$C="Buy")*(Transactions!$B:$B&lt;&gt;"")),2,1),45,5))</f>
        <v/>
      </c>
      <c r="E46">
        <f>IF(C46="","",C46*D46)</f>
        <v/>
      </c>
      <c r="F46">
        <f>IF(A46="","",SUMIFS(C$2:C46,A$2:A46,A46,B$2:B46,"&lt;="&amp;B46))</f>
        <v/>
      </c>
      <c r="G46">
        <f>IF(A46="","",SUMIFS(Transactions!$D:$D,Transactions!$B:$B,A46,Transactions!$C:$C,"Sell"))</f>
        <v/>
      </c>
      <c r="H46">
        <f>IF(A46="","",MAX(0,MIN(C46,G46-SUM(H$2:H45))))</f>
        <v/>
      </c>
      <c r="I46">
        <f>IF(C46="","",C46-H46)</f>
        <v/>
      </c>
      <c r="J46">
        <f>IF(I46="","",I46*D46)</f>
        <v/>
      </c>
    </row>
    <row r="47">
      <c r="A47">
        <f>IFERROR(INDEX(SORT(FILTER(Transactions!$B:$B,(Transactions!$C:$C="Buy")*(Transactions!$B:$B&lt;&gt;"")),1,1),46),"")</f>
        <v/>
      </c>
      <c r="B47">
        <f>IF(A47="","",INDEX(SORT(FILTER(Transactions!$A:$G,(Transactions!$C:$C="Buy")*(Transactions!$B:$B&lt;&gt;"")),2,1),46,1))</f>
        <v/>
      </c>
      <c r="C47">
        <f>IF(A47="","",INDEX(SORT(FILTER(Transactions!$A:$G,(Transactions!$C:$C="Buy")*(Transactions!$B:$B&lt;&gt;"")),2,1),46,4))</f>
        <v/>
      </c>
      <c r="D47">
        <f>IF(A47="","",INDEX(SORT(FILTER(Transactions!$A:$G,(Transactions!$C:$C="Buy")*(Transactions!$B:$B&lt;&gt;"")),2,1),46,5))</f>
        <v/>
      </c>
      <c r="E47">
        <f>IF(C47="","",C47*D47)</f>
        <v/>
      </c>
      <c r="F47">
        <f>IF(A47="","",SUMIFS(C$2:C47,A$2:A47,A47,B$2:B47,"&lt;="&amp;B47))</f>
        <v/>
      </c>
      <c r="G47">
        <f>IF(A47="","",SUMIFS(Transactions!$D:$D,Transactions!$B:$B,A47,Transactions!$C:$C,"Sell"))</f>
        <v/>
      </c>
      <c r="H47">
        <f>IF(A47="","",MAX(0,MIN(C47,G47-SUM(H$2:H46))))</f>
        <v/>
      </c>
      <c r="I47">
        <f>IF(C47="","",C47-H47)</f>
        <v/>
      </c>
      <c r="J47">
        <f>IF(I47="","",I47*D47)</f>
        <v/>
      </c>
    </row>
    <row r="48">
      <c r="A48">
        <f>IFERROR(INDEX(SORT(FILTER(Transactions!$B:$B,(Transactions!$C:$C="Buy")*(Transactions!$B:$B&lt;&gt;"")),1,1),47),"")</f>
        <v/>
      </c>
      <c r="B48">
        <f>IF(A48="","",INDEX(SORT(FILTER(Transactions!$A:$G,(Transactions!$C:$C="Buy")*(Transactions!$B:$B&lt;&gt;"")),2,1),47,1))</f>
        <v/>
      </c>
      <c r="C48">
        <f>IF(A48="","",INDEX(SORT(FILTER(Transactions!$A:$G,(Transactions!$C:$C="Buy")*(Transactions!$B:$B&lt;&gt;"")),2,1),47,4))</f>
        <v/>
      </c>
      <c r="D48">
        <f>IF(A48="","",INDEX(SORT(FILTER(Transactions!$A:$G,(Transactions!$C:$C="Buy")*(Transactions!$B:$B&lt;&gt;"")),2,1),47,5))</f>
        <v/>
      </c>
      <c r="E48">
        <f>IF(C48="","",C48*D48)</f>
        <v/>
      </c>
      <c r="F48">
        <f>IF(A48="","",SUMIFS(C$2:C48,A$2:A48,A48,B$2:B48,"&lt;="&amp;B48))</f>
        <v/>
      </c>
      <c r="G48">
        <f>IF(A48="","",SUMIFS(Transactions!$D:$D,Transactions!$B:$B,A48,Transactions!$C:$C,"Sell"))</f>
        <v/>
      </c>
      <c r="H48">
        <f>IF(A48="","",MAX(0,MIN(C48,G48-SUM(H$2:H47))))</f>
        <v/>
      </c>
      <c r="I48">
        <f>IF(C48="","",C48-H48)</f>
        <v/>
      </c>
      <c r="J48">
        <f>IF(I48="","",I48*D48)</f>
        <v/>
      </c>
    </row>
    <row r="49">
      <c r="A49">
        <f>IFERROR(INDEX(SORT(FILTER(Transactions!$B:$B,(Transactions!$C:$C="Buy")*(Transactions!$B:$B&lt;&gt;"")),1,1),48),"")</f>
        <v/>
      </c>
      <c r="B49">
        <f>IF(A49="","",INDEX(SORT(FILTER(Transactions!$A:$G,(Transactions!$C:$C="Buy")*(Transactions!$B:$B&lt;&gt;"")),2,1),48,1))</f>
        <v/>
      </c>
      <c r="C49">
        <f>IF(A49="","",INDEX(SORT(FILTER(Transactions!$A:$G,(Transactions!$C:$C="Buy")*(Transactions!$B:$B&lt;&gt;"")),2,1),48,4))</f>
        <v/>
      </c>
      <c r="D49">
        <f>IF(A49="","",INDEX(SORT(FILTER(Transactions!$A:$G,(Transactions!$C:$C="Buy")*(Transactions!$B:$B&lt;&gt;"")),2,1),48,5))</f>
        <v/>
      </c>
      <c r="E49">
        <f>IF(C49="","",C49*D49)</f>
        <v/>
      </c>
      <c r="F49">
        <f>IF(A49="","",SUMIFS(C$2:C49,A$2:A49,A49,B$2:B49,"&lt;="&amp;B49))</f>
        <v/>
      </c>
      <c r="G49">
        <f>IF(A49="","",SUMIFS(Transactions!$D:$D,Transactions!$B:$B,A49,Transactions!$C:$C,"Sell"))</f>
        <v/>
      </c>
      <c r="H49">
        <f>IF(A49="","",MAX(0,MIN(C49,G49-SUM(H$2:H48))))</f>
        <v/>
      </c>
      <c r="I49">
        <f>IF(C49="","",C49-H49)</f>
        <v/>
      </c>
      <c r="J49">
        <f>IF(I49="","",I49*D49)</f>
        <v/>
      </c>
    </row>
    <row r="50">
      <c r="A50">
        <f>IFERROR(INDEX(SORT(FILTER(Transactions!$B:$B,(Transactions!$C:$C="Buy")*(Transactions!$B:$B&lt;&gt;"")),1,1),49),"")</f>
        <v/>
      </c>
      <c r="B50">
        <f>IF(A50="","",INDEX(SORT(FILTER(Transactions!$A:$G,(Transactions!$C:$C="Buy")*(Transactions!$B:$B&lt;&gt;"")),2,1),49,1))</f>
        <v/>
      </c>
      <c r="C50">
        <f>IF(A50="","",INDEX(SORT(FILTER(Transactions!$A:$G,(Transactions!$C:$C="Buy")*(Transactions!$B:$B&lt;&gt;"")),2,1),49,4))</f>
        <v/>
      </c>
      <c r="D50">
        <f>IF(A50="","",INDEX(SORT(FILTER(Transactions!$A:$G,(Transactions!$C:$C="Buy")*(Transactions!$B:$B&lt;&gt;"")),2,1),49,5))</f>
        <v/>
      </c>
      <c r="E50">
        <f>IF(C50="","",C50*D50)</f>
        <v/>
      </c>
      <c r="F50">
        <f>IF(A50="","",SUMIFS(C$2:C50,A$2:A50,A50,B$2:B50,"&lt;="&amp;B50))</f>
        <v/>
      </c>
      <c r="G50">
        <f>IF(A50="","",SUMIFS(Transactions!$D:$D,Transactions!$B:$B,A50,Transactions!$C:$C,"Sell"))</f>
        <v/>
      </c>
      <c r="H50">
        <f>IF(A50="","",MAX(0,MIN(C50,G50-SUM(H$2:H49))))</f>
        <v/>
      </c>
      <c r="I50">
        <f>IF(C50="","",C50-H50)</f>
        <v/>
      </c>
      <c r="J50">
        <f>IF(I50="","",I50*D50)</f>
        <v/>
      </c>
    </row>
    <row r="51">
      <c r="A51">
        <f>IFERROR(INDEX(SORT(FILTER(Transactions!$B:$B,(Transactions!$C:$C="Buy")*(Transactions!$B:$B&lt;&gt;"")),1,1),50),"")</f>
        <v/>
      </c>
      <c r="B51">
        <f>IF(A51="","",INDEX(SORT(FILTER(Transactions!$A:$G,(Transactions!$C:$C="Buy")*(Transactions!$B:$B&lt;&gt;"")),2,1),50,1))</f>
        <v/>
      </c>
      <c r="C51">
        <f>IF(A51="","",INDEX(SORT(FILTER(Transactions!$A:$G,(Transactions!$C:$C="Buy")*(Transactions!$B:$B&lt;&gt;"")),2,1),50,4))</f>
        <v/>
      </c>
      <c r="D51">
        <f>IF(A51="","",INDEX(SORT(FILTER(Transactions!$A:$G,(Transactions!$C:$C="Buy")*(Transactions!$B:$B&lt;&gt;"")),2,1),50,5))</f>
        <v/>
      </c>
      <c r="E51">
        <f>IF(C51="","",C51*D51)</f>
        <v/>
      </c>
      <c r="F51">
        <f>IF(A51="","",SUMIFS(C$2:C51,A$2:A51,A51,B$2:B51,"&lt;="&amp;B51))</f>
        <v/>
      </c>
      <c r="G51">
        <f>IF(A51="","",SUMIFS(Transactions!$D:$D,Transactions!$B:$B,A51,Transactions!$C:$C,"Sell"))</f>
        <v/>
      </c>
      <c r="H51">
        <f>IF(A51="","",MAX(0,MIN(C51,G51-SUM(H$2:H50))))</f>
        <v/>
      </c>
      <c r="I51">
        <f>IF(C51="","",C51-H51)</f>
        <v/>
      </c>
      <c r="J51">
        <f>IF(I51="","",I51*D51)</f>
        <v/>
      </c>
    </row>
    <row r="52">
      <c r="A52">
        <f>IFERROR(INDEX(SORT(FILTER(Transactions!$B:$B,(Transactions!$C:$C="Buy")*(Transactions!$B:$B&lt;&gt;"")),1,1),51),"")</f>
        <v/>
      </c>
      <c r="B52">
        <f>IF(A52="","",INDEX(SORT(FILTER(Transactions!$A:$G,(Transactions!$C:$C="Buy")*(Transactions!$B:$B&lt;&gt;"")),2,1),51,1))</f>
        <v/>
      </c>
      <c r="C52">
        <f>IF(A52="","",INDEX(SORT(FILTER(Transactions!$A:$G,(Transactions!$C:$C="Buy")*(Transactions!$B:$B&lt;&gt;"")),2,1),51,4))</f>
        <v/>
      </c>
      <c r="D52">
        <f>IF(A52="","",INDEX(SORT(FILTER(Transactions!$A:$G,(Transactions!$C:$C="Buy")*(Transactions!$B:$B&lt;&gt;"")),2,1),51,5))</f>
        <v/>
      </c>
      <c r="E52">
        <f>IF(C52="","",C52*D52)</f>
        <v/>
      </c>
      <c r="F52">
        <f>IF(A52="","",SUMIFS(C$2:C52,A$2:A52,A52,B$2:B52,"&lt;="&amp;B52))</f>
        <v/>
      </c>
      <c r="G52">
        <f>IF(A52="","",SUMIFS(Transactions!$D:$D,Transactions!$B:$B,A52,Transactions!$C:$C,"Sell"))</f>
        <v/>
      </c>
      <c r="H52">
        <f>IF(A52="","",MAX(0,MIN(C52,G52-SUM(H$2:H51))))</f>
        <v/>
      </c>
      <c r="I52">
        <f>IF(C52="","",C52-H52)</f>
        <v/>
      </c>
      <c r="J52">
        <f>IF(I52="","",I52*D52)</f>
        <v/>
      </c>
    </row>
    <row r="53">
      <c r="A53">
        <f>IFERROR(INDEX(SORT(FILTER(Transactions!$B:$B,(Transactions!$C:$C="Buy")*(Transactions!$B:$B&lt;&gt;"")),1,1),52),"")</f>
        <v/>
      </c>
      <c r="B53">
        <f>IF(A53="","",INDEX(SORT(FILTER(Transactions!$A:$G,(Transactions!$C:$C="Buy")*(Transactions!$B:$B&lt;&gt;"")),2,1),52,1))</f>
        <v/>
      </c>
      <c r="C53">
        <f>IF(A53="","",INDEX(SORT(FILTER(Transactions!$A:$G,(Transactions!$C:$C="Buy")*(Transactions!$B:$B&lt;&gt;"")),2,1),52,4))</f>
        <v/>
      </c>
      <c r="D53">
        <f>IF(A53="","",INDEX(SORT(FILTER(Transactions!$A:$G,(Transactions!$C:$C="Buy")*(Transactions!$B:$B&lt;&gt;"")),2,1),52,5))</f>
        <v/>
      </c>
      <c r="E53">
        <f>IF(C53="","",C53*D53)</f>
        <v/>
      </c>
      <c r="F53">
        <f>IF(A53="","",SUMIFS(C$2:C53,A$2:A53,A53,B$2:B53,"&lt;="&amp;B53))</f>
        <v/>
      </c>
      <c r="G53">
        <f>IF(A53="","",SUMIFS(Transactions!$D:$D,Transactions!$B:$B,A53,Transactions!$C:$C,"Sell"))</f>
        <v/>
      </c>
      <c r="H53">
        <f>IF(A53="","",MAX(0,MIN(C53,G53-SUM(H$2:H52))))</f>
        <v/>
      </c>
      <c r="I53">
        <f>IF(C53="","",C53-H53)</f>
        <v/>
      </c>
      <c r="J53">
        <f>IF(I53="","",I53*D53)</f>
        <v/>
      </c>
    </row>
    <row r="54">
      <c r="A54">
        <f>IFERROR(INDEX(SORT(FILTER(Transactions!$B:$B,(Transactions!$C:$C="Buy")*(Transactions!$B:$B&lt;&gt;"")),1,1),53),"")</f>
        <v/>
      </c>
      <c r="B54">
        <f>IF(A54="","",INDEX(SORT(FILTER(Transactions!$A:$G,(Transactions!$C:$C="Buy")*(Transactions!$B:$B&lt;&gt;"")),2,1),53,1))</f>
        <v/>
      </c>
      <c r="C54">
        <f>IF(A54="","",INDEX(SORT(FILTER(Transactions!$A:$G,(Transactions!$C:$C="Buy")*(Transactions!$B:$B&lt;&gt;"")),2,1),53,4))</f>
        <v/>
      </c>
      <c r="D54">
        <f>IF(A54="","",INDEX(SORT(FILTER(Transactions!$A:$G,(Transactions!$C:$C="Buy")*(Transactions!$B:$B&lt;&gt;"")),2,1),53,5))</f>
        <v/>
      </c>
      <c r="E54">
        <f>IF(C54="","",C54*D54)</f>
        <v/>
      </c>
      <c r="F54">
        <f>IF(A54="","",SUMIFS(C$2:C54,A$2:A54,A54,B$2:B54,"&lt;="&amp;B54))</f>
        <v/>
      </c>
      <c r="G54">
        <f>IF(A54="","",SUMIFS(Transactions!$D:$D,Transactions!$B:$B,A54,Transactions!$C:$C,"Sell"))</f>
        <v/>
      </c>
      <c r="H54">
        <f>IF(A54="","",MAX(0,MIN(C54,G54-SUM(H$2:H53))))</f>
        <v/>
      </c>
      <c r="I54">
        <f>IF(C54="","",C54-H54)</f>
        <v/>
      </c>
      <c r="J54">
        <f>IF(I54="","",I54*D54)</f>
        <v/>
      </c>
    </row>
    <row r="55">
      <c r="A55">
        <f>IFERROR(INDEX(SORT(FILTER(Transactions!$B:$B,(Transactions!$C:$C="Buy")*(Transactions!$B:$B&lt;&gt;"")),1,1),54),"")</f>
        <v/>
      </c>
      <c r="B55">
        <f>IF(A55="","",INDEX(SORT(FILTER(Transactions!$A:$G,(Transactions!$C:$C="Buy")*(Transactions!$B:$B&lt;&gt;"")),2,1),54,1))</f>
        <v/>
      </c>
      <c r="C55">
        <f>IF(A55="","",INDEX(SORT(FILTER(Transactions!$A:$G,(Transactions!$C:$C="Buy")*(Transactions!$B:$B&lt;&gt;"")),2,1),54,4))</f>
        <v/>
      </c>
      <c r="D55">
        <f>IF(A55="","",INDEX(SORT(FILTER(Transactions!$A:$G,(Transactions!$C:$C="Buy")*(Transactions!$B:$B&lt;&gt;"")),2,1),54,5))</f>
        <v/>
      </c>
      <c r="E55">
        <f>IF(C55="","",C55*D55)</f>
        <v/>
      </c>
      <c r="F55">
        <f>IF(A55="","",SUMIFS(C$2:C55,A$2:A55,A55,B$2:B55,"&lt;="&amp;B55))</f>
        <v/>
      </c>
      <c r="G55">
        <f>IF(A55="","",SUMIFS(Transactions!$D:$D,Transactions!$B:$B,A55,Transactions!$C:$C,"Sell"))</f>
        <v/>
      </c>
      <c r="H55">
        <f>IF(A55="","",MAX(0,MIN(C55,G55-SUM(H$2:H54))))</f>
        <v/>
      </c>
      <c r="I55">
        <f>IF(C55="","",C55-H55)</f>
        <v/>
      </c>
      <c r="J55">
        <f>IF(I55="","",I55*D55)</f>
        <v/>
      </c>
    </row>
    <row r="56">
      <c r="A56">
        <f>IFERROR(INDEX(SORT(FILTER(Transactions!$B:$B,(Transactions!$C:$C="Buy")*(Transactions!$B:$B&lt;&gt;"")),1,1),55),"")</f>
        <v/>
      </c>
      <c r="B56">
        <f>IF(A56="","",INDEX(SORT(FILTER(Transactions!$A:$G,(Transactions!$C:$C="Buy")*(Transactions!$B:$B&lt;&gt;"")),2,1),55,1))</f>
        <v/>
      </c>
      <c r="C56">
        <f>IF(A56="","",INDEX(SORT(FILTER(Transactions!$A:$G,(Transactions!$C:$C="Buy")*(Transactions!$B:$B&lt;&gt;"")),2,1),55,4))</f>
        <v/>
      </c>
      <c r="D56">
        <f>IF(A56="","",INDEX(SORT(FILTER(Transactions!$A:$G,(Transactions!$C:$C="Buy")*(Transactions!$B:$B&lt;&gt;"")),2,1),55,5))</f>
        <v/>
      </c>
      <c r="E56">
        <f>IF(C56="","",C56*D56)</f>
        <v/>
      </c>
      <c r="F56">
        <f>IF(A56="","",SUMIFS(C$2:C56,A$2:A56,A56,B$2:B56,"&lt;="&amp;B56))</f>
        <v/>
      </c>
      <c r="G56">
        <f>IF(A56="","",SUMIFS(Transactions!$D:$D,Transactions!$B:$B,A56,Transactions!$C:$C,"Sell"))</f>
        <v/>
      </c>
      <c r="H56">
        <f>IF(A56="","",MAX(0,MIN(C56,G56-SUM(H$2:H55))))</f>
        <v/>
      </c>
      <c r="I56">
        <f>IF(C56="","",C56-H56)</f>
        <v/>
      </c>
      <c r="J56">
        <f>IF(I56="","",I56*D56)</f>
        <v/>
      </c>
    </row>
    <row r="57">
      <c r="A57">
        <f>IFERROR(INDEX(SORT(FILTER(Transactions!$B:$B,(Transactions!$C:$C="Buy")*(Transactions!$B:$B&lt;&gt;"")),1,1),56),"")</f>
        <v/>
      </c>
      <c r="B57">
        <f>IF(A57="","",INDEX(SORT(FILTER(Transactions!$A:$G,(Transactions!$C:$C="Buy")*(Transactions!$B:$B&lt;&gt;"")),2,1),56,1))</f>
        <v/>
      </c>
      <c r="C57">
        <f>IF(A57="","",INDEX(SORT(FILTER(Transactions!$A:$G,(Transactions!$C:$C="Buy")*(Transactions!$B:$B&lt;&gt;"")),2,1),56,4))</f>
        <v/>
      </c>
      <c r="D57">
        <f>IF(A57="","",INDEX(SORT(FILTER(Transactions!$A:$G,(Transactions!$C:$C="Buy")*(Transactions!$B:$B&lt;&gt;"")),2,1),56,5))</f>
        <v/>
      </c>
      <c r="E57">
        <f>IF(C57="","",C57*D57)</f>
        <v/>
      </c>
      <c r="F57">
        <f>IF(A57="","",SUMIFS(C$2:C57,A$2:A57,A57,B$2:B57,"&lt;="&amp;B57))</f>
        <v/>
      </c>
      <c r="G57">
        <f>IF(A57="","",SUMIFS(Transactions!$D:$D,Transactions!$B:$B,A57,Transactions!$C:$C,"Sell"))</f>
        <v/>
      </c>
      <c r="H57">
        <f>IF(A57="","",MAX(0,MIN(C57,G57-SUM(H$2:H56))))</f>
        <v/>
      </c>
      <c r="I57">
        <f>IF(C57="","",C57-H57)</f>
        <v/>
      </c>
      <c r="J57">
        <f>IF(I57="","",I57*D57)</f>
        <v/>
      </c>
    </row>
    <row r="58">
      <c r="A58">
        <f>IFERROR(INDEX(SORT(FILTER(Transactions!$B:$B,(Transactions!$C:$C="Buy")*(Transactions!$B:$B&lt;&gt;"")),1,1),57),"")</f>
        <v/>
      </c>
      <c r="B58">
        <f>IF(A58="","",INDEX(SORT(FILTER(Transactions!$A:$G,(Transactions!$C:$C="Buy")*(Transactions!$B:$B&lt;&gt;"")),2,1),57,1))</f>
        <v/>
      </c>
      <c r="C58">
        <f>IF(A58="","",INDEX(SORT(FILTER(Transactions!$A:$G,(Transactions!$C:$C="Buy")*(Transactions!$B:$B&lt;&gt;"")),2,1),57,4))</f>
        <v/>
      </c>
      <c r="D58">
        <f>IF(A58="","",INDEX(SORT(FILTER(Transactions!$A:$G,(Transactions!$C:$C="Buy")*(Transactions!$B:$B&lt;&gt;"")),2,1),57,5))</f>
        <v/>
      </c>
      <c r="E58">
        <f>IF(C58="","",C58*D58)</f>
        <v/>
      </c>
      <c r="F58">
        <f>IF(A58="","",SUMIFS(C$2:C58,A$2:A58,A58,B$2:B58,"&lt;="&amp;B58))</f>
        <v/>
      </c>
      <c r="G58">
        <f>IF(A58="","",SUMIFS(Transactions!$D:$D,Transactions!$B:$B,A58,Transactions!$C:$C,"Sell"))</f>
        <v/>
      </c>
      <c r="H58">
        <f>IF(A58="","",MAX(0,MIN(C58,G58-SUM(H$2:H57))))</f>
        <v/>
      </c>
      <c r="I58">
        <f>IF(C58="","",C58-H58)</f>
        <v/>
      </c>
      <c r="J58">
        <f>IF(I58="","",I58*D58)</f>
        <v/>
      </c>
    </row>
    <row r="59">
      <c r="A59">
        <f>IFERROR(INDEX(SORT(FILTER(Transactions!$B:$B,(Transactions!$C:$C="Buy")*(Transactions!$B:$B&lt;&gt;"")),1,1),58),"")</f>
        <v/>
      </c>
      <c r="B59">
        <f>IF(A59="","",INDEX(SORT(FILTER(Transactions!$A:$G,(Transactions!$C:$C="Buy")*(Transactions!$B:$B&lt;&gt;"")),2,1),58,1))</f>
        <v/>
      </c>
      <c r="C59">
        <f>IF(A59="","",INDEX(SORT(FILTER(Transactions!$A:$G,(Transactions!$C:$C="Buy")*(Transactions!$B:$B&lt;&gt;"")),2,1),58,4))</f>
        <v/>
      </c>
      <c r="D59">
        <f>IF(A59="","",INDEX(SORT(FILTER(Transactions!$A:$G,(Transactions!$C:$C="Buy")*(Transactions!$B:$B&lt;&gt;"")),2,1),58,5))</f>
        <v/>
      </c>
      <c r="E59">
        <f>IF(C59="","",C59*D59)</f>
        <v/>
      </c>
      <c r="F59">
        <f>IF(A59="","",SUMIFS(C$2:C59,A$2:A59,A59,B$2:B59,"&lt;="&amp;B59))</f>
        <v/>
      </c>
      <c r="G59">
        <f>IF(A59="","",SUMIFS(Transactions!$D:$D,Transactions!$B:$B,A59,Transactions!$C:$C,"Sell"))</f>
        <v/>
      </c>
      <c r="H59">
        <f>IF(A59="","",MAX(0,MIN(C59,G59-SUM(H$2:H58))))</f>
        <v/>
      </c>
      <c r="I59">
        <f>IF(C59="","",C59-H59)</f>
        <v/>
      </c>
      <c r="J59">
        <f>IF(I59="","",I59*D59)</f>
        <v/>
      </c>
    </row>
    <row r="60">
      <c r="A60">
        <f>IFERROR(INDEX(SORT(FILTER(Transactions!$B:$B,(Transactions!$C:$C="Buy")*(Transactions!$B:$B&lt;&gt;"")),1,1),59),"")</f>
        <v/>
      </c>
      <c r="B60">
        <f>IF(A60="","",INDEX(SORT(FILTER(Transactions!$A:$G,(Transactions!$C:$C="Buy")*(Transactions!$B:$B&lt;&gt;"")),2,1),59,1))</f>
        <v/>
      </c>
      <c r="C60">
        <f>IF(A60="","",INDEX(SORT(FILTER(Transactions!$A:$G,(Transactions!$C:$C="Buy")*(Transactions!$B:$B&lt;&gt;"")),2,1),59,4))</f>
        <v/>
      </c>
      <c r="D60">
        <f>IF(A60="","",INDEX(SORT(FILTER(Transactions!$A:$G,(Transactions!$C:$C="Buy")*(Transactions!$B:$B&lt;&gt;"")),2,1),59,5))</f>
        <v/>
      </c>
      <c r="E60">
        <f>IF(C60="","",C60*D60)</f>
        <v/>
      </c>
      <c r="F60">
        <f>IF(A60="","",SUMIFS(C$2:C60,A$2:A60,A60,B$2:B60,"&lt;="&amp;B60))</f>
        <v/>
      </c>
      <c r="G60">
        <f>IF(A60="","",SUMIFS(Transactions!$D:$D,Transactions!$B:$B,A60,Transactions!$C:$C,"Sell"))</f>
        <v/>
      </c>
      <c r="H60">
        <f>IF(A60="","",MAX(0,MIN(C60,G60-SUM(H$2:H59))))</f>
        <v/>
      </c>
      <c r="I60">
        <f>IF(C60="","",C60-H60)</f>
        <v/>
      </c>
      <c r="J60">
        <f>IF(I60="","",I60*D60)</f>
        <v/>
      </c>
    </row>
    <row r="61">
      <c r="A61">
        <f>IFERROR(INDEX(SORT(FILTER(Transactions!$B:$B,(Transactions!$C:$C="Buy")*(Transactions!$B:$B&lt;&gt;"")),1,1),60),"")</f>
        <v/>
      </c>
      <c r="B61">
        <f>IF(A61="","",INDEX(SORT(FILTER(Transactions!$A:$G,(Transactions!$C:$C="Buy")*(Transactions!$B:$B&lt;&gt;"")),2,1),60,1))</f>
        <v/>
      </c>
      <c r="C61">
        <f>IF(A61="","",INDEX(SORT(FILTER(Transactions!$A:$G,(Transactions!$C:$C="Buy")*(Transactions!$B:$B&lt;&gt;"")),2,1),60,4))</f>
        <v/>
      </c>
      <c r="D61">
        <f>IF(A61="","",INDEX(SORT(FILTER(Transactions!$A:$G,(Transactions!$C:$C="Buy")*(Transactions!$B:$B&lt;&gt;"")),2,1),60,5))</f>
        <v/>
      </c>
      <c r="E61">
        <f>IF(C61="","",C61*D61)</f>
        <v/>
      </c>
      <c r="F61">
        <f>IF(A61="","",SUMIFS(C$2:C61,A$2:A61,A61,B$2:B61,"&lt;="&amp;B61))</f>
        <v/>
      </c>
      <c r="G61">
        <f>IF(A61="","",SUMIFS(Transactions!$D:$D,Transactions!$B:$B,A61,Transactions!$C:$C,"Sell"))</f>
        <v/>
      </c>
      <c r="H61">
        <f>IF(A61="","",MAX(0,MIN(C61,G61-SUM(H$2:H60))))</f>
        <v/>
      </c>
      <c r="I61">
        <f>IF(C61="","",C61-H61)</f>
        <v/>
      </c>
      <c r="J61">
        <f>IF(I61="","",I61*D61)</f>
        <v/>
      </c>
    </row>
    <row r="62">
      <c r="A62">
        <f>IFERROR(INDEX(SORT(FILTER(Transactions!$B:$B,(Transactions!$C:$C="Buy")*(Transactions!$B:$B&lt;&gt;"")),1,1),61),"")</f>
        <v/>
      </c>
      <c r="B62">
        <f>IF(A62="","",INDEX(SORT(FILTER(Transactions!$A:$G,(Transactions!$C:$C="Buy")*(Transactions!$B:$B&lt;&gt;"")),2,1),61,1))</f>
        <v/>
      </c>
      <c r="C62">
        <f>IF(A62="","",INDEX(SORT(FILTER(Transactions!$A:$G,(Transactions!$C:$C="Buy")*(Transactions!$B:$B&lt;&gt;"")),2,1),61,4))</f>
        <v/>
      </c>
      <c r="D62">
        <f>IF(A62="","",INDEX(SORT(FILTER(Transactions!$A:$G,(Transactions!$C:$C="Buy")*(Transactions!$B:$B&lt;&gt;"")),2,1),61,5))</f>
        <v/>
      </c>
      <c r="E62">
        <f>IF(C62="","",C62*D62)</f>
        <v/>
      </c>
      <c r="F62">
        <f>IF(A62="","",SUMIFS(C$2:C62,A$2:A62,A62,B$2:B62,"&lt;="&amp;B62))</f>
        <v/>
      </c>
      <c r="G62">
        <f>IF(A62="","",SUMIFS(Transactions!$D:$D,Transactions!$B:$B,A62,Transactions!$C:$C,"Sell"))</f>
        <v/>
      </c>
      <c r="H62">
        <f>IF(A62="","",MAX(0,MIN(C62,G62-SUM(H$2:H61))))</f>
        <v/>
      </c>
      <c r="I62">
        <f>IF(C62="","",C62-H62)</f>
        <v/>
      </c>
      <c r="J62">
        <f>IF(I62="","",I62*D62)</f>
        <v/>
      </c>
    </row>
    <row r="63">
      <c r="A63">
        <f>IFERROR(INDEX(SORT(FILTER(Transactions!$B:$B,(Transactions!$C:$C="Buy")*(Transactions!$B:$B&lt;&gt;"")),1,1),62),"")</f>
        <v/>
      </c>
      <c r="B63">
        <f>IF(A63="","",INDEX(SORT(FILTER(Transactions!$A:$G,(Transactions!$C:$C="Buy")*(Transactions!$B:$B&lt;&gt;"")),2,1),62,1))</f>
        <v/>
      </c>
      <c r="C63">
        <f>IF(A63="","",INDEX(SORT(FILTER(Transactions!$A:$G,(Transactions!$C:$C="Buy")*(Transactions!$B:$B&lt;&gt;"")),2,1),62,4))</f>
        <v/>
      </c>
      <c r="D63">
        <f>IF(A63="","",INDEX(SORT(FILTER(Transactions!$A:$G,(Transactions!$C:$C="Buy")*(Transactions!$B:$B&lt;&gt;"")),2,1),62,5))</f>
        <v/>
      </c>
      <c r="E63">
        <f>IF(C63="","",C63*D63)</f>
        <v/>
      </c>
      <c r="F63">
        <f>IF(A63="","",SUMIFS(C$2:C63,A$2:A63,A63,B$2:B63,"&lt;="&amp;B63))</f>
        <v/>
      </c>
      <c r="G63">
        <f>IF(A63="","",SUMIFS(Transactions!$D:$D,Transactions!$B:$B,A63,Transactions!$C:$C,"Sell"))</f>
        <v/>
      </c>
      <c r="H63">
        <f>IF(A63="","",MAX(0,MIN(C63,G63-SUM(H$2:H62))))</f>
        <v/>
      </c>
      <c r="I63">
        <f>IF(C63="","",C63-H63)</f>
        <v/>
      </c>
      <c r="J63">
        <f>IF(I63="","",I63*D63)</f>
        <v/>
      </c>
    </row>
    <row r="64">
      <c r="A64">
        <f>IFERROR(INDEX(SORT(FILTER(Transactions!$B:$B,(Transactions!$C:$C="Buy")*(Transactions!$B:$B&lt;&gt;"")),1,1),63),"")</f>
        <v/>
      </c>
      <c r="B64">
        <f>IF(A64="","",INDEX(SORT(FILTER(Transactions!$A:$G,(Transactions!$C:$C="Buy")*(Transactions!$B:$B&lt;&gt;"")),2,1),63,1))</f>
        <v/>
      </c>
      <c r="C64">
        <f>IF(A64="","",INDEX(SORT(FILTER(Transactions!$A:$G,(Transactions!$C:$C="Buy")*(Transactions!$B:$B&lt;&gt;"")),2,1),63,4))</f>
        <v/>
      </c>
      <c r="D64">
        <f>IF(A64="","",INDEX(SORT(FILTER(Transactions!$A:$G,(Transactions!$C:$C="Buy")*(Transactions!$B:$B&lt;&gt;"")),2,1),63,5))</f>
        <v/>
      </c>
      <c r="E64">
        <f>IF(C64="","",C64*D64)</f>
        <v/>
      </c>
      <c r="F64">
        <f>IF(A64="","",SUMIFS(C$2:C64,A$2:A64,A64,B$2:B64,"&lt;="&amp;B64))</f>
        <v/>
      </c>
      <c r="G64">
        <f>IF(A64="","",SUMIFS(Transactions!$D:$D,Transactions!$B:$B,A64,Transactions!$C:$C,"Sell"))</f>
        <v/>
      </c>
      <c r="H64">
        <f>IF(A64="","",MAX(0,MIN(C64,G64-SUM(H$2:H63))))</f>
        <v/>
      </c>
      <c r="I64">
        <f>IF(C64="","",C64-H64)</f>
        <v/>
      </c>
      <c r="J64">
        <f>IF(I64="","",I64*D64)</f>
        <v/>
      </c>
    </row>
    <row r="65">
      <c r="A65">
        <f>IFERROR(INDEX(SORT(FILTER(Transactions!$B:$B,(Transactions!$C:$C="Buy")*(Transactions!$B:$B&lt;&gt;"")),1,1),64),"")</f>
        <v/>
      </c>
      <c r="B65">
        <f>IF(A65="","",INDEX(SORT(FILTER(Transactions!$A:$G,(Transactions!$C:$C="Buy")*(Transactions!$B:$B&lt;&gt;"")),2,1),64,1))</f>
        <v/>
      </c>
      <c r="C65">
        <f>IF(A65="","",INDEX(SORT(FILTER(Transactions!$A:$G,(Transactions!$C:$C="Buy")*(Transactions!$B:$B&lt;&gt;"")),2,1),64,4))</f>
        <v/>
      </c>
      <c r="D65">
        <f>IF(A65="","",INDEX(SORT(FILTER(Transactions!$A:$G,(Transactions!$C:$C="Buy")*(Transactions!$B:$B&lt;&gt;"")),2,1),64,5))</f>
        <v/>
      </c>
      <c r="E65">
        <f>IF(C65="","",C65*D65)</f>
        <v/>
      </c>
      <c r="F65">
        <f>IF(A65="","",SUMIFS(C$2:C65,A$2:A65,A65,B$2:B65,"&lt;="&amp;B65))</f>
        <v/>
      </c>
      <c r="G65">
        <f>IF(A65="","",SUMIFS(Transactions!$D:$D,Transactions!$B:$B,A65,Transactions!$C:$C,"Sell"))</f>
        <v/>
      </c>
      <c r="H65">
        <f>IF(A65="","",MAX(0,MIN(C65,G65-SUM(H$2:H64))))</f>
        <v/>
      </c>
      <c r="I65">
        <f>IF(C65="","",C65-H65)</f>
        <v/>
      </c>
      <c r="J65">
        <f>IF(I65="","",I65*D65)</f>
        <v/>
      </c>
    </row>
    <row r="66">
      <c r="A66">
        <f>IFERROR(INDEX(SORT(FILTER(Transactions!$B:$B,(Transactions!$C:$C="Buy")*(Transactions!$B:$B&lt;&gt;"")),1,1),65),"")</f>
        <v/>
      </c>
      <c r="B66">
        <f>IF(A66="","",INDEX(SORT(FILTER(Transactions!$A:$G,(Transactions!$C:$C="Buy")*(Transactions!$B:$B&lt;&gt;"")),2,1),65,1))</f>
        <v/>
      </c>
      <c r="C66">
        <f>IF(A66="","",INDEX(SORT(FILTER(Transactions!$A:$G,(Transactions!$C:$C="Buy")*(Transactions!$B:$B&lt;&gt;"")),2,1),65,4))</f>
        <v/>
      </c>
      <c r="D66">
        <f>IF(A66="","",INDEX(SORT(FILTER(Transactions!$A:$G,(Transactions!$C:$C="Buy")*(Transactions!$B:$B&lt;&gt;"")),2,1),65,5))</f>
        <v/>
      </c>
      <c r="E66">
        <f>IF(C66="","",C66*D66)</f>
        <v/>
      </c>
      <c r="F66">
        <f>IF(A66="","",SUMIFS(C$2:C66,A$2:A66,A66,B$2:B66,"&lt;="&amp;B66))</f>
        <v/>
      </c>
      <c r="G66">
        <f>IF(A66="","",SUMIFS(Transactions!$D:$D,Transactions!$B:$B,A66,Transactions!$C:$C,"Sell"))</f>
        <v/>
      </c>
      <c r="H66">
        <f>IF(A66="","",MAX(0,MIN(C66,G66-SUM(H$2:H65))))</f>
        <v/>
      </c>
      <c r="I66">
        <f>IF(C66="","",C66-H66)</f>
        <v/>
      </c>
      <c r="J66">
        <f>IF(I66="","",I66*D66)</f>
        <v/>
      </c>
    </row>
    <row r="67">
      <c r="A67">
        <f>IFERROR(INDEX(SORT(FILTER(Transactions!$B:$B,(Transactions!$C:$C="Buy")*(Transactions!$B:$B&lt;&gt;"")),1,1),66),"")</f>
        <v/>
      </c>
      <c r="B67">
        <f>IF(A67="","",INDEX(SORT(FILTER(Transactions!$A:$G,(Transactions!$C:$C="Buy")*(Transactions!$B:$B&lt;&gt;"")),2,1),66,1))</f>
        <v/>
      </c>
      <c r="C67">
        <f>IF(A67="","",INDEX(SORT(FILTER(Transactions!$A:$G,(Transactions!$C:$C="Buy")*(Transactions!$B:$B&lt;&gt;"")),2,1),66,4))</f>
        <v/>
      </c>
      <c r="D67">
        <f>IF(A67="","",INDEX(SORT(FILTER(Transactions!$A:$G,(Transactions!$C:$C="Buy")*(Transactions!$B:$B&lt;&gt;"")),2,1),66,5))</f>
        <v/>
      </c>
      <c r="E67">
        <f>IF(C67="","",C67*D67)</f>
        <v/>
      </c>
      <c r="F67">
        <f>IF(A67="","",SUMIFS(C$2:C67,A$2:A67,A67,B$2:B67,"&lt;="&amp;B67))</f>
        <v/>
      </c>
      <c r="G67">
        <f>IF(A67="","",SUMIFS(Transactions!$D:$D,Transactions!$B:$B,A67,Transactions!$C:$C,"Sell"))</f>
        <v/>
      </c>
      <c r="H67">
        <f>IF(A67="","",MAX(0,MIN(C67,G67-SUM(H$2:H66))))</f>
        <v/>
      </c>
      <c r="I67">
        <f>IF(C67="","",C67-H67)</f>
        <v/>
      </c>
      <c r="J67">
        <f>IF(I67="","",I67*D67)</f>
        <v/>
      </c>
    </row>
    <row r="68">
      <c r="A68">
        <f>IFERROR(INDEX(SORT(FILTER(Transactions!$B:$B,(Transactions!$C:$C="Buy")*(Transactions!$B:$B&lt;&gt;"")),1,1),67),"")</f>
        <v/>
      </c>
      <c r="B68">
        <f>IF(A68="","",INDEX(SORT(FILTER(Transactions!$A:$G,(Transactions!$C:$C="Buy")*(Transactions!$B:$B&lt;&gt;"")),2,1),67,1))</f>
        <v/>
      </c>
      <c r="C68">
        <f>IF(A68="","",INDEX(SORT(FILTER(Transactions!$A:$G,(Transactions!$C:$C="Buy")*(Transactions!$B:$B&lt;&gt;"")),2,1),67,4))</f>
        <v/>
      </c>
      <c r="D68">
        <f>IF(A68="","",INDEX(SORT(FILTER(Transactions!$A:$G,(Transactions!$C:$C="Buy")*(Transactions!$B:$B&lt;&gt;"")),2,1),67,5))</f>
        <v/>
      </c>
      <c r="E68">
        <f>IF(C68="","",C68*D68)</f>
        <v/>
      </c>
      <c r="F68">
        <f>IF(A68="","",SUMIFS(C$2:C68,A$2:A68,A68,B$2:B68,"&lt;="&amp;B68))</f>
        <v/>
      </c>
      <c r="G68">
        <f>IF(A68="","",SUMIFS(Transactions!$D:$D,Transactions!$B:$B,A68,Transactions!$C:$C,"Sell"))</f>
        <v/>
      </c>
      <c r="H68">
        <f>IF(A68="","",MAX(0,MIN(C68,G68-SUM(H$2:H67))))</f>
        <v/>
      </c>
      <c r="I68">
        <f>IF(C68="","",C68-H68)</f>
        <v/>
      </c>
      <c r="J68">
        <f>IF(I68="","",I68*D68)</f>
        <v/>
      </c>
    </row>
    <row r="69">
      <c r="A69">
        <f>IFERROR(INDEX(SORT(FILTER(Transactions!$B:$B,(Transactions!$C:$C="Buy")*(Transactions!$B:$B&lt;&gt;"")),1,1),68),"")</f>
        <v/>
      </c>
      <c r="B69">
        <f>IF(A69="","",INDEX(SORT(FILTER(Transactions!$A:$G,(Transactions!$C:$C="Buy")*(Transactions!$B:$B&lt;&gt;"")),2,1),68,1))</f>
        <v/>
      </c>
      <c r="C69">
        <f>IF(A69="","",INDEX(SORT(FILTER(Transactions!$A:$G,(Transactions!$C:$C="Buy")*(Transactions!$B:$B&lt;&gt;"")),2,1),68,4))</f>
        <v/>
      </c>
      <c r="D69">
        <f>IF(A69="","",INDEX(SORT(FILTER(Transactions!$A:$G,(Transactions!$C:$C="Buy")*(Transactions!$B:$B&lt;&gt;"")),2,1),68,5))</f>
        <v/>
      </c>
      <c r="E69">
        <f>IF(C69="","",C69*D69)</f>
        <v/>
      </c>
      <c r="F69">
        <f>IF(A69="","",SUMIFS(C$2:C69,A$2:A69,A69,B$2:B69,"&lt;="&amp;B69))</f>
        <v/>
      </c>
      <c r="G69">
        <f>IF(A69="","",SUMIFS(Transactions!$D:$D,Transactions!$B:$B,A69,Transactions!$C:$C,"Sell"))</f>
        <v/>
      </c>
      <c r="H69">
        <f>IF(A69="","",MAX(0,MIN(C69,G69-SUM(H$2:H68))))</f>
        <v/>
      </c>
      <c r="I69">
        <f>IF(C69="","",C69-H69)</f>
        <v/>
      </c>
      <c r="J69">
        <f>IF(I69="","",I69*D69)</f>
        <v/>
      </c>
    </row>
    <row r="70">
      <c r="A70">
        <f>IFERROR(INDEX(SORT(FILTER(Transactions!$B:$B,(Transactions!$C:$C="Buy")*(Transactions!$B:$B&lt;&gt;"")),1,1),69),"")</f>
        <v/>
      </c>
      <c r="B70">
        <f>IF(A70="","",INDEX(SORT(FILTER(Transactions!$A:$G,(Transactions!$C:$C="Buy")*(Transactions!$B:$B&lt;&gt;"")),2,1),69,1))</f>
        <v/>
      </c>
      <c r="C70">
        <f>IF(A70="","",INDEX(SORT(FILTER(Transactions!$A:$G,(Transactions!$C:$C="Buy")*(Transactions!$B:$B&lt;&gt;"")),2,1),69,4))</f>
        <v/>
      </c>
      <c r="D70">
        <f>IF(A70="","",INDEX(SORT(FILTER(Transactions!$A:$G,(Transactions!$C:$C="Buy")*(Transactions!$B:$B&lt;&gt;"")),2,1),69,5))</f>
        <v/>
      </c>
      <c r="E70">
        <f>IF(C70="","",C70*D70)</f>
        <v/>
      </c>
      <c r="F70">
        <f>IF(A70="","",SUMIFS(C$2:C70,A$2:A70,A70,B$2:B70,"&lt;="&amp;B70))</f>
        <v/>
      </c>
      <c r="G70">
        <f>IF(A70="","",SUMIFS(Transactions!$D:$D,Transactions!$B:$B,A70,Transactions!$C:$C,"Sell"))</f>
        <v/>
      </c>
      <c r="H70">
        <f>IF(A70="","",MAX(0,MIN(C70,G70-SUM(H$2:H69))))</f>
        <v/>
      </c>
      <c r="I70">
        <f>IF(C70="","",C70-H70)</f>
        <v/>
      </c>
      <c r="J70">
        <f>IF(I70="","",I70*D70)</f>
        <v/>
      </c>
    </row>
    <row r="71">
      <c r="A71">
        <f>IFERROR(INDEX(SORT(FILTER(Transactions!$B:$B,(Transactions!$C:$C="Buy")*(Transactions!$B:$B&lt;&gt;"")),1,1),70),"")</f>
        <v/>
      </c>
      <c r="B71">
        <f>IF(A71="","",INDEX(SORT(FILTER(Transactions!$A:$G,(Transactions!$C:$C="Buy")*(Transactions!$B:$B&lt;&gt;"")),2,1),70,1))</f>
        <v/>
      </c>
      <c r="C71">
        <f>IF(A71="","",INDEX(SORT(FILTER(Transactions!$A:$G,(Transactions!$C:$C="Buy")*(Transactions!$B:$B&lt;&gt;"")),2,1),70,4))</f>
        <v/>
      </c>
      <c r="D71">
        <f>IF(A71="","",INDEX(SORT(FILTER(Transactions!$A:$G,(Transactions!$C:$C="Buy")*(Transactions!$B:$B&lt;&gt;"")),2,1),70,5))</f>
        <v/>
      </c>
      <c r="E71">
        <f>IF(C71="","",C71*D71)</f>
        <v/>
      </c>
      <c r="F71">
        <f>IF(A71="","",SUMIFS(C$2:C71,A$2:A71,A71,B$2:B71,"&lt;="&amp;B71))</f>
        <v/>
      </c>
      <c r="G71">
        <f>IF(A71="","",SUMIFS(Transactions!$D:$D,Transactions!$B:$B,A71,Transactions!$C:$C,"Sell"))</f>
        <v/>
      </c>
      <c r="H71">
        <f>IF(A71="","",MAX(0,MIN(C71,G71-SUM(H$2:H70))))</f>
        <v/>
      </c>
      <c r="I71">
        <f>IF(C71="","",C71-H71)</f>
        <v/>
      </c>
      <c r="J71">
        <f>IF(I71="","",I71*D71)</f>
        <v/>
      </c>
    </row>
    <row r="72">
      <c r="A72">
        <f>IFERROR(INDEX(SORT(FILTER(Transactions!$B:$B,(Transactions!$C:$C="Buy")*(Transactions!$B:$B&lt;&gt;"")),1,1),71),"")</f>
        <v/>
      </c>
      <c r="B72">
        <f>IF(A72="","",INDEX(SORT(FILTER(Transactions!$A:$G,(Transactions!$C:$C="Buy")*(Transactions!$B:$B&lt;&gt;"")),2,1),71,1))</f>
        <v/>
      </c>
      <c r="C72">
        <f>IF(A72="","",INDEX(SORT(FILTER(Transactions!$A:$G,(Transactions!$C:$C="Buy")*(Transactions!$B:$B&lt;&gt;"")),2,1),71,4))</f>
        <v/>
      </c>
      <c r="D72">
        <f>IF(A72="","",INDEX(SORT(FILTER(Transactions!$A:$G,(Transactions!$C:$C="Buy")*(Transactions!$B:$B&lt;&gt;"")),2,1),71,5))</f>
        <v/>
      </c>
      <c r="E72">
        <f>IF(C72="","",C72*D72)</f>
        <v/>
      </c>
      <c r="F72">
        <f>IF(A72="","",SUMIFS(C$2:C72,A$2:A72,A72,B$2:B72,"&lt;="&amp;B72))</f>
        <v/>
      </c>
      <c r="G72">
        <f>IF(A72="","",SUMIFS(Transactions!$D:$D,Transactions!$B:$B,A72,Transactions!$C:$C,"Sell"))</f>
        <v/>
      </c>
      <c r="H72">
        <f>IF(A72="","",MAX(0,MIN(C72,G72-SUM(H$2:H71))))</f>
        <v/>
      </c>
      <c r="I72">
        <f>IF(C72="","",C72-H72)</f>
        <v/>
      </c>
      <c r="J72">
        <f>IF(I72="","",I72*D72)</f>
        <v/>
      </c>
    </row>
    <row r="73">
      <c r="A73">
        <f>IFERROR(INDEX(SORT(FILTER(Transactions!$B:$B,(Transactions!$C:$C="Buy")*(Transactions!$B:$B&lt;&gt;"")),1,1),72),"")</f>
        <v/>
      </c>
      <c r="B73">
        <f>IF(A73="","",INDEX(SORT(FILTER(Transactions!$A:$G,(Transactions!$C:$C="Buy")*(Transactions!$B:$B&lt;&gt;"")),2,1),72,1))</f>
        <v/>
      </c>
      <c r="C73">
        <f>IF(A73="","",INDEX(SORT(FILTER(Transactions!$A:$G,(Transactions!$C:$C="Buy")*(Transactions!$B:$B&lt;&gt;"")),2,1),72,4))</f>
        <v/>
      </c>
      <c r="D73">
        <f>IF(A73="","",INDEX(SORT(FILTER(Transactions!$A:$G,(Transactions!$C:$C="Buy")*(Transactions!$B:$B&lt;&gt;"")),2,1),72,5))</f>
        <v/>
      </c>
      <c r="E73">
        <f>IF(C73="","",C73*D73)</f>
        <v/>
      </c>
      <c r="F73">
        <f>IF(A73="","",SUMIFS(C$2:C73,A$2:A73,A73,B$2:B73,"&lt;="&amp;B73))</f>
        <v/>
      </c>
      <c r="G73">
        <f>IF(A73="","",SUMIFS(Transactions!$D:$D,Transactions!$B:$B,A73,Transactions!$C:$C,"Sell"))</f>
        <v/>
      </c>
      <c r="H73">
        <f>IF(A73="","",MAX(0,MIN(C73,G73-SUM(H$2:H72))))</f>
        <v/>
      </c>
      <c r="I73">
        <f>IF(C73="","",C73-H73)</f>
        <v/>
      </c>
      <c r="J73">
        <f>IF(I73="","",I73*D73)</f>
        <v/>
      </c>
    </row>
    <row r="74">
      <c r="A74">
        <f>IFERROR(INDEX(SORT(FILTER(Transactions!$B:$B,(Transactions!$C:$C="Buy")*(Transactions!$B:$B&lt;&gt;"")),1,1),73),"")</f>
        <v/>
      </c>
      <c r="B74">
        <f>IF(A74="","",INDEX(SORT(FILTER(Transactions!$A:$G,(Transactions!$C:$C="Buy")*(Transactions!$B:$B&lt;&gt;"")),2,1),73,1))</f>
        <v/>
      </c>
      <c r="C74">
        <f>IF(A74="","",INDEX(SORT(FILTER(Transactions!$A:$G,(Transactions!$C:$C="Buy")*(Transactions!$B:$B&lt;&gt;"")),2,1),73,4))</f>
        <v/>
      </c>
      <c r="D74">
        <f>IF(A74="","",INDEX(SORT(FILTER(Transactions!$A:$G,(Transactions!$C:$C="Buy")*(Transactions!$B:$B&lt;&gt;"")),2,1),73,5))</f>
        <v/>
      </c>
      <c r="E74">
        <f>IF(C74="","",C74*D74)</f>
        <v/>
      </c>
      <c r="F74">
        <f>IF(A74="","",SUMIFS(C$2:C74,A$2:A74,A74,B$2:B74,"&lt;="&amp;B74))</f>
        <v/>
      </c>
      <c r="G74">
        <f>IF(A74="","",SUMIFS(Transactions!$D:$D,Transactions!$B:$B,A74,Transactions!$C:$C,"Sell"))</f>
        <v/>
      </c>
      <c r="H74">
        <f>IF(A74="","",MAX(0,MIN(C74,G74-SUM(H$2:H73))))</f>
        <v/>
      </c>
      <c r="I74">
        <f>IF(C74="","",C74-H74)</f>
        <v/>
      </c>
      <c r="J74">
        <f>IF(I74="","",I74*D74)</f>
        <v/>
      </c>
    </row>
    <row r="75">
      <c r="A75">
        <f>IFERROR(INDEX(SORT(FILTER(Transactions!$B:$B,(Transactions!$C:$C="Buy")*(Transactions!$B:$B&lt;&gt;"")),1,1),74),"")</f>
        <v/>
      </c>
      <c r="B75">
        <f>IF(A75="","",INDEX(SORT(FILTER(Transactions!$A:$G,(Transactions!$C:$C="Buy")*(Transactions!$B:$B&lt;&gt;"")),2,1),74,1))</f>
        <v/>
      </c>
      <c r="C75">
        <f>IF(A75="","",INDEX(SORT(FILTER(Transactions!$A:$G,(Transactions!$C:$C="Buy")*(Transactions!$B:$B&lt;&gt;"")),2,1),74,4))</f>
        <v/>
      </c>
      <c r="D75">
        <f>IF(A75="","",INDEX(SORT(FILTER(Transactions!$A:$G,(Transactions!$C:$C="Buy")*(Transactions!$B:$B&lt;&gt;"")),2,1),74,5))</f>
        <v/>
      </c>
      <c r="E75">
        <f>IF(C75="","",C75*D75)</f>
        <v/>
      </c>
      <c r="F75">
        <f>IF(A75="","",SUMIFS(C$2:C75,A$2:A75,A75,B$2:B75,"&lt;="&amp;B75))</f>
        <v/>
      </c>
      <c r="G75">
        <f>IF(A75="","",SUMIFS(Transactions!$D:$D,Transactions!$B:$B,A75,Transactions!$C:$C,"Sell"))</f>
        <v/>
      </c>
      <c r="H75">
        <f>IF(A75="","",MAX(0,MIN(C75,G75-SUM(H$2:H74))))</f>
        <v/>
      </c>
      <c r="I75">
        <f>IF(C75="","",C75-H75)</f>
        <v/>
      </c>
      <c r="J75">
        <f>IF(I75="","",I75*D75)</f>
        <v/>
      </c>
    </row>
    <row r="76">
      <c r="A76">
        <f>IFERROR(INDEX(SORT(FILTER(Transactions!$B:$B,(Transactions!$C:$C="Buy")*(Transactions!$B:$B&lt;&gt;"")),1,1),75),"")</f>
        <v/>
      </c>
      <c r="B76">
        <f>IF(A76="","",INDEX(SORT(FILTER(Transactions!$A:$G,(Transactions!$C:$C="Buy")*(Transactions!$B:$B&lt;&gt;"")),2,1),75,1))</f>
        <v/>
      </c>
      <c r="C76">
        <f>IF(A76="","",INDEX(SORT(FILTER(Transactions!$A:$G,(Transactions!$C:$C="Buy")*(Transactions!$B:$B&lt;&gt;"")),2,1),75,4))</f>
        <v/>
      </c>
      <c r="D76">
        <f>IF(A76="","",INDEX(SORT(FILTER(Transactions!$A:$G,(Transactions!$C:$C="Buy")*(Transactions!$B:$B&lt;&gt;"")),2,1),75,5))</f>
        <v/>
      </c>
      <c r="E76">
        <f>IF(C76="","",C76*D76)</f>
        <v/>
      </c>
      <c r="F76">
        <f>IF(A76="","",SUMIFS(C$2:C76,A$2:A76,A76,B$2:B76,"&lt;="&amp;B76))</f>
        <v/>
      </c>
      <c r="G76">
        <f>IF(A76="","",SUMIFS(Transactions!$D:$D,Transactions!$B:$B,A76,Transactions!$C:$C,"Sell"))</f>
        <v/>
      </c>
      <c r="H76">
        <f>IF(A76="","",MAX(0,MIN(C76,G76-SUM(H$2:H75))))</f>
        <v/>
      </c>
      <c r="I76">
        <f>IF(C76="","",C76-H76)</f>
        <v/>
      </c>
      <c r="J76">
        <f>IF(I76="","",I76*D76)</f>
        <v/>
      </c>
    </row>
    <row r="77">
      <c r="A77">
        <f>IFERROR(INDEX(SORT(FILTER(Transactions!$B:$B,(Transactions!$C:$C="Buy")*(Transactions!$B:$B&lt;&gt;"")),1,1),76),"")</f>
        <v/>
      </c>
      <c r="B77">
        <f>IF(A77="","",INDEX(SORT(FILTER(Transactions!$A:$G,(Transactions!$C:$C="Buy")*(Transactions!$B:$B&lt;&gt;"")),2,1),76,1))</f>
        <v/>
      </c>
      <c r="C77">
        <f>IF(A77="","",INDEX(SORT(FILTER(Transactions!$A:$G,(Transactions!$C:$C="Buy")*(Transactions!$B:$B&lt;&gt;"")),2,1),76,4))</f>
        <v/>
      </c>
      <c r="D77">
        <f>IF(A77="","",INDEX(SORT(FILTER(Transactions!$A:$G,(Transactions!$C:$C="Buy")*(Transactions!$B:$B&lt;&gt;"")),2,1),76,5))</f>
        <v/>
      </c>
      <c r="E77">
        <f>IF(C77="","",C77*D77)</f>
        <v/>
      </c>
      <c r="F77">
        <f>IF(A77="","",SUMIFS(C$2:C77,A$2:A77,A77,B$2:B77,"&lt;="&amp;B77))</f>
        <v/>
      </c>
      <c r="G77">
        <f>IF(A77="","",SUMIFS(Transactions!$D:$D,Transactions!$B:$B,A77,Transactions!$C:$C,"Sell"))</f>
        <v/>
      </c>
      <c r="H77">
        <f>IF(A77="","",MAX(0,MIN(C77,G77-SUM(H$2:H76))))</f>
        <v/>
      </c>
      <c r="I77">
        <f>IF(C77="","",C77-H77)</f>
        <v/>
      </c>
      <c r="J77">
        <f>IF(I77="","",I77*D77)</f>
        <v/>
      </c>
    </row>
    <row r="78">
      <c r="A78">
        <f>IFERROR(INDEX(SORT(FILTER(Transactions!$B:$B,(Transactions!$C:$C="Buy")*(Transactions!$B:$B&lt;&gt;"")),1,1),77),"")</f>
        <v/>
      </c>
      <c r="B78">
        <f>IF(A78="","",INDEX(SORT(FILTER(Transactions!$A:$G,(Transactions!$C:$C="Buy")*(Transactions!$B:$B&lt;&gt;"")),2,1),77,1))</f>
        <v/>
      </c>
      <c r="C78">
        <f>IF(A78="","",INDEX(SORT(FILTER(Transactions!$A:$G,(Transactions!$C:$C="Buy")*(Transactions!$B:$B&lt;&gt;"")),2,1),77,4))</f>
        <v/>
      </c>
      <c r="D78">
        <f>IF(A78="","",INDEX(SORT(FILTER(Transactions!$A:$G,(Transactions!$C:$C="Buy")*(Transactions!$B:$B&lt;&gt;"")),2,1),77,5))</f>
        <v/>
      </c>
      <c r="E78">
        <f>IF(C78="","",C78*D78)</f>
        <v/>
      </c>
      <c r="F78">
        <f>IF(A78="","",SUMIFS(C$2:C78,A$2:A78,A78,B$2:B78,"&lt;="&amp;B78))</f>
        <v/>
      </c>
      <c r="G78">
        <f>IF(A78="","",SUMIFS(Transactions!$D:$D,Transactions!$B:$B,A78,Transactions!$C:$C,"Sell"))</f>
        <v/>
      </c>
      <c r="H78">
        <f>IF(A78="","",MAX(0,MIN(C78,G78-SUM(H$2:H77))))</f>
        <v/>
      </c>
      <c r="I78">
        <f>IF(C78="","",C78-H78)</f>
        <v/>
      </c>
      <c r="J78">
        <f>IF(I78="","",I78*D78)</f>
        <v/>
      </c>
    </row>
    <row r="79">
      <c r="A79">
        <f>IFERROR(INDEX(SORT(FILTER(Transactions!$B:$B,(Transactions!$C:$C="Buy")*(Transactions!$B:$B&lt;&gt;"")),1,1),78),"")</f>
        <v/>
      </c>
      <c r="B79">
        <f>IF(A79="","",INDEX(SORT(FILTER(Transactions!$A:$G,(Transactions!$C:$C="Buy")*(Transactions!$B:$B&lt;&gt;"")),2,1),78,1))</f>
        <v/>
      </c>
      <c r="C79">
        <f>IF(A79="","",INDEX(SORT(FILTER(Transactions!$A:$G,(Transactions!$C:$C="Buy")*(Transactions!$B:$B&lt;&gt;"")),2,1),78,4))</f>
        <v/>
      </c>
      <c r="D79">
        <f>IF(A79="","",INDEX(SORT(FILTER(Transactions!$A:$G,(Transactions!$C:$C="Buy")*(Transactions!$B:$B&lt;&gt;"")),2,1),78,5))</f>
        <v/>
      </c>
      <c r="E79">
        <f>IF(C79="","",C79*D79)</f>
        <v/>
      </c>
      <c r="F79">
        <f>IF(A79="","",SUMIFS(C$2:C79,A$2:A79,A79,B$2:B79,"&lt;="&amp;B79))</f>
        <v/>
      </c>
      <c r="G79">
        <f>IF(A79="","",SUMIFS(Transactions!$D:$D,Transactions!$B:$B,A79,Transactions!$C:$C,"Sell"))</f>
        <v/>
      </c>
      <c r="H79">
        <f>IF(A79="","",MAX(0,MIN(C79,G79-SUM(H$2:H78))))</f>
        <v/>
      </c>
      <c r="I79">
        <f>IF(C79="","",C79-H79)</f>
        <v/>
      </c>
      <c r="J79">
        <f>IF(I79="","",I79*D79)</f>
        <v/>
      </c>
    </row>
    <row r="80">
      <c r="A80">
        <f>IFERROR(INDEX(SORT(FILTER(Transactions!$B:$B,(Transactions!$C:$C="Buy")*(Transactions!$B:$B&lt;&gt;"")),1,1),79),"")</f>
        <v/>
      </c>
      <c r="B80">
        <f>IF(A80="","",INDEX(SORT(FILTER(Transactions!$A:$G,(Transactions!$C:$C="Buy")*(Transactions!$B:$B&lt;&gt;"")),2,1),79,1))</f>
        <v/>
      </c>
      <c r="C80">
        <f>IF(A80="","",INDEX(SORT(FILTER(Transactions!$A:$G,(Transactions!$C:$C="Buy")*(Transactions!$B:$B&lt;&gt;"")),2,1),79,4))</f>
        <v/>
      </c>
      <c r="D80">
        <f>IF(A80="","",INDEX(SORT(FILTER(Transactions!$A:$G,(Transactions!$C:$C="Buy")*(Transactions!$B:$B&lt;&gt;"")),2,1),79,5))</f>
        <v/>
      </c>
      <c r="E80">
        <f>IF(C80="","",C80*D80)</f>
        <v/>
      </c>
      <c r="F80">
        <f>IF(A80="","",SUMIFS(C$2:C80,A$2:A80,A80,B$2:B80,"&lt;="&amp;B80))</f>
        <v/>
      </c>
      <c r="G80">
        <f>IF(A80="","",SUMIFS(Transactions!$D:$D,Transactions!$B:$B,A80,Transactions!$C:$C,"Sell"))</f>
        <v/>
      </c>
      <c r="H80">
        <f>IF(A80="","",MAX(0,MIN(C80,G80-SUM(H$2:H79))))</f>
        <v/>
      </c>
      <c r="I80">
        <f>IF(C80="","",C80-H80)</f>
        <v/>
      </c>
      <c r="J80">
        <f>IF(I80="","",I80*D80)</f>
        <v/>
      </c>
    </row>
    <row r="81">
      <c r="A81">
        <f>IFERROR(INDEX(SORT(FILTER(Transactions!$B:$B,(Transactions!$C:$C="Buy")*(Transactions!$B:$B&lt;&gt;"")),1,1),80),"")</f>
        <v/>
      </c>
      <c r="B81">
        <f>IF(A81="","",INDEX(SORT(FILTER(Transactions!$A:$G,(Transactions!$C:$C="Buy")*(Transactions!$B:$B&lt;&gt;"")),2,1),80,1))</f>
        <v/>
      </c>
      <c r="C81">
        <f>IF(A81="","",INDEX(SORT(FILTER(Transactions!$A:$G,(Transactions!$C:$C="Buy")*(Transactions!$B:$B&lt;&gt;"")),2,1),80,4))</f>
        <v/>
      </c>
      <c r="D81">
        <f>IF(A81="","",INDEX(SORT(FILTER(Transactions!$A:$G,(Transactions!$C:$C="Buy")*(Transactions!$B:$B&lt;&gt;"")),2,1),80,5))</f>
        <v/>
      </c>
      <c r="E81">
        <f>IF(C81="","",C81*D81)</f>
        <v/>
      </c>
      <c r="F81">
        <f>IF(A81="","",SUMIFS(C$2:C81,A$2:A81,A81,B$2:B81,"&lt;="&amp;B81))</f>
        <v/>
      </c>
      <c r="G81">
        <f>IF(A81="","",SUMIFS(Transactions!$D:$D,Transactions!$B:$B,A81,Transactions!$C:$C,"Sell"))</f>
        <v/>
      </c>
      <c r="H81">
        <f>IF(A81="","",MAX(0,MIN(C81,G81-SUM(H$2:H80))))</f>
        <v/>
      </c>
      <c r="I81">
        <f>IF(C81="","",C81-H81)</f>
        <v/>
      </c>
      <c r="J81">
        <f>IF(I81="","",I81*D81)</f>
        <v/>
      </c>
    </row>
    <row r="82">
      <c r="A82">
        <f>IFERROR(INDEX(SORT(FILTER(Transactions!$B:$B,(Transactions!$C:$C="Buy")*(Transactions!$B:$B&lt;&gt;"")),1,1),81),"")</f>
        <v/>
      </c>
      <c r="B82">
        <f>IF(A82="","",INDEX(SORT(FILTER(Transactions!$A:$G,(Transactions!$C:$C="Buy")*(Transactions!$B:$B&lt;&gt;"")),2,1),81,1))</f>
        <v/>
      </c>
      <c r="C82">
        <f>IF(A82="","",INDEX(SORT(FILTER(Transactions!$A:$G,(Transactions!$C:$C="Buy")*(Transactions!$B:$B&lt;&gt;"")),2,1),81,4))</f>
        <v/>
      </c>
      <c r="D82">
        <f>IF(A82="","",INDEX(SORT(FILTER(Transactions!$A:$G,(Transactions!$C:$C="Buy")*(Transactions!$B:$B&lt;&gt;"")),2,1),81,5))</f>
        <v/>
      </c>
      <c r="E82">
        <f>IF(C82="","",C82*D82)</f>
        <v/>
      </c>
      <c r="F82">
        <f>IF(A82="","",SUMIFS(C$2:C82,A$2:A82,A82,B$2:B82,"&lt;="&amp;B82))</f>
        <v/>
      </c>
      <c r="G82">
        <f>IF(A82="","",SUMIFS(Transactions!$D:$D,Transactions!$B:$B,A82,Transactions!$C:$C,"Sell"))</f>
        <v/>
      </c>
      <c r="H82">
        <f>IF(A82="","",MAX(0,MIN(C82,G82-SUM(H$2:H81))))</f>
        <v/>
      </c>
      <c r="I82">
        <f>IF(C82="","",C82-H82)</f>
        <v/>
      </c>
      <c r="J82">
        <f>IF(I82="","",I82*D82)</f>
        <v/>
      </c>
    </row>
    <row r="83">
      <c r="A83">
        <f>IFERROR(INDEX(SORT(FILTER(Transactions!$B:$B,(Transactions!$C:$C="Buy")*(Transactions!$B:$B&lt;&gt;"")),1,1),82),"")</f>
        <v/>
      </c>
      <c r="B83">
        <f>IF(A83="","",INDEX(SORT(FILTER(Transactions!$A:$G,(Transactions!$C:$C="Buy")*(Transactions!$B:$B&lt;&gt;"")),2,1),82,1))</f>
        <v/>
      </c>
      <c r="C83">
        <f>IF(A83="","",INDEX(SORT(FILTER(Transactions!$A:$G,(Transactions!$C:$C="Buy")*(Transactions!$B:$B&lt;&gt;"")),2,1),82,4))</f>
        <v/>
      </c>
      <c r="D83">
        <f>IF(A83="","",INDEX(SORT(FILTER(Transactions!$A:$G,(Transactions!$C:$C="Buy")*(Transactions!$B:$B&lt;&gt;"")),2,1),82,5))</f>
        <v/>
      </c>
      <c r="E83">
        <f>IF(C83="","",C83*D83)</f>
        <v/>
      </c>
      <c r="F83">
        <f>IF(A83="","",SUMIFS(C$2:C83,A$2:A83,A83,B$2:B83,"&lt;="&amp;B83))</f>
        <v/>
      </c>
      <c r="G83">
        <f>IF(A83="","",SUMIFS(Transactions!$D:$D,Transactions!$B:$B,A83,Transactions!$C:$C,"Sell"))</f>
        <v/>
      </c>
      <c r="H83">
        <f>IF(A83="","",MAX(0,MIN(C83,G83-SUM(H$2:H82))))</f>
        <v/>
      </c>
      <c r="I83">
        <f>IF(C83="","",C83-H83)</f>
        <v/>
      </c>
      <c r="J83">
        <f>IF(I83="","",I83*D83)</f>
        <v/>
      </c>
    </row>
    <row r="84">
      <c r="A84">
        <f>IFERROR(INDEX(SORT(FILTER(Transactions!$B:$B,(Transactions!$C:$C="Buy")*(Transactions!$B:$B&lt;&gt;"")),1,1),83),"")</f>
        <v/>
      </c>
      <c r="B84">
        <f>IF(A84="","",INDEX(SORT(FILTER(Transactions!$A:$G,(Transactions!$C:$C="Buy")*(Transactions!$B:$B&lt;&gt;"")),2,1),83,1))</f>
        <v/>
      </c>
      <c r="C84">
        <f>IF(A84="","",INDEX(SORT(FILTER(Transactions!$A:$G,(Transactions!$C:$C="Buy")*(Transactions!$B:$B&lt;&gt;"")),2,1),83,4))</f>
        <v/>
      </c>
      <c r="D84">
        <f>IF(A84="","",INDEX(SORT(FILTER(Transactions!$A:$G,(Transactions!$C:$C="Buy")*(Transactions!$B:$B&lt;&gt;"")),2,1),83,5))</f>
        <v/>
      </c>
      <c r="E84">
        <f>IF(C84="","",C84*D84)</f>
        <v/>
      </c>
      <c r="F84">
        <f>IF(A84="","",SUMIFS(C$2:C84,A$2:A84,A84,B$2:B84,"&lt;="&amp;B84))</f>
        <v/>
      </c>
      <c r="G84">
        <f>IF(A84="","",SUMIFS(Transactions!$D:$D,Transactions!$B:$B,A84,Transactions!$C:$C,"Sell"))</f>
        <v/>
      </c>
      <c r="H84">
        <f>IF(A84="","",MAX(0,MIN(C84,G84-SUM(H$2:H83))))</f>
        <v/>
      </c>
      <c r="I84">
        <f>IF(C84="","",C84-H84)</f>
        <v/>
      </c>
      <c r="J84">
        <f>IF(I84="","",I84*D84)</f>
        <v/>
      </c>
    </row>
    <row r="85">
      <c r="A85">
        <f>IFERROR(INDEX(SORT(FILTER(Transactions!$B:$B,(Transactions!$C:$C="Buy")*(Transactions!$B:$B&lt;&gt;"")),1,1),84),"")</f>
        <v/>
      </c>
      <c r="B85">
        <f>IF(A85="","",INDEX(SORT(FILTER(Transactions!$A:$G,(Transactions!$C:$C="Buy")*(Transactions!$B:$B&lt;&gt;"")),2,1),84,1))</f>
        <v/>
      </c>
      <c r="C85">
        <f>IF(A85="","",INDEX(SORT(FILTER(Transactions!$A:$G,(Transactions!$C:$C="Buy")*(Transactions!$B:$B&lt;&gt;"")),2,1),84,4))</f>
        <v/>
      </c>
      <c r="D85">
        <f>IF(A85="","",INDEX(SORT(FILTER(Transactions!$A:$G,(Transactions!$C:$C="Buy")*(Transactions!$B:$B&lt;&gt;"")),2,1),84,5))</f>
        <v/>
      </c>
      <c r="E85">
        <f>IF(C85="","",C85*D85)</f>
        <v/>
      </c>
      <c r="F85">
        <f>IF(A85="","",SUMIFS(C$2:C85,A$2:A85,A85,B$2:B85,"&lt;="&amp;B85))</f>
        <v/>
      </c>
      <c r="G85">
        <f>IF(A85="","",SUMIFS(Transactions!$D:$D,Transactions!$B:$B,A85,Transactions!$C:$C,"Sell"))</f>
        <v/>
      </c>
      <c r="H85">
        <f>IF(A85="","",MAX(0,MIN(C85,G85-SUM(H$2:H84))))</f>
        <v/>
      </c>
      <c r="I85">
        <f>IF(C85="","",C85-H85)</f>
        <v/>
      </c>
      <c r="J85">
        <f>IF(I85="","",I85*D85)</f>
        <v/>
      </c>
    </row>
    <row r="86">
      <c r="A86">
        <f>IFERROR(INDEX(SORT(FILTER(Transactions!$B:$B,(Transactions!$C:$C="Buy")*(Transactions!$B:$B&lt;&gt;"")),1,1),85),"")</f>
        <v/>
      </c>
      <c r="B86">
        <f>IF(A86="","",INDEX(SORT(FILTER(Transactions!$A:$G,(Transactions!$C:$C="Buy")*(Transactions!$B:$B&lt;&gt;"")),2,1),85,1))</f>
        <v/>
      </c>
      <c r="C86">
        <f>IF(A86="","",INDEX(SORT(FILTER(Transactions!$A:$G,(Transactions!$C:$C="Buy")*(Transactions!$B:$B&lt;&gt;"")),2,1),85,4))</f>
        <v/>
      </c>
      <c r="D86">
        <f>IF(A86="","",INDEX(SORT(FILTER(Transactions!$A:$G,(Transactions!$C:$C="Buy")*(Transactions!$B:$B&lt;&gt;"")),2,1),85,5))</f>
        <v/>
      </c>
      <c r="E86">
        <f>IF(C86="","",C86*D86)</f>
        <v/>
      </c>
      <c r="F86">
        <f>IF(A86="","",SUMIFS(C$2:C86,A$2:A86,A86,B$2:B86,"&lt;="&amp;B86))</f>
        <v/>
      </c>
      <c r="G86">
        <f>IF(A86="","",SUMIFS(Transactions!$D:$D,Transactions!$B:$B,A86,Transactions!$C:$C,"Sell"))</f>
        <v/>
      </c>
      <c r="H86">
        <f>IF(A86="","",MAX(0,MIN(C86,G86-SUM(H$2:H85))))</f>
        <v/>
      </c>
      <c r="I86">
        <f>IF(C86="","",C86-H86)</f>
        <v/>
      </c>
      <c r="J86">
        <f>IF(I86="","",I86*D86)</f>
        <v/>
      </c>
    </row>
    <row r="87">
      <c r="A87">
        <f>IFERROR(INDEX(SORT(FILTER(Transactions!$B:$B,(Transactions!$C:$C="Buy")*(Transactions!$B:$B&lt;&gt;"")),1,1),86),"")</f>
        <v/>
      </c>
      <c r="B87">
        <f>IF(A87="","",INDEX(SORT(FILTER(Transactions!$A:$G,(Transactions!$C:$C="Buy")*(Transactions!$B:$B&lt;&gt;"")),2,1),86,1))</f>
        <v/>
      </c>
      <c r="C87">
        <f>IF(A87="","",INDEX(SORT(FILTER(Transactions!$A:$G,(Transactions!$C:$C="Buy")*(Transactions!$B:$B&lt;&gt;"")),2,1),86,4))</f>
        <v/>
      </c>
      <c r="D87">
        <f>IF(A87="","",INDEX(SORT(FILTER(Transactions!$A:$G,(Transactions!$C:$C="Buy")*(Transactions!$B:$B&lt;&gt;"")),2,1),86,5))</f>
        <v/>
      </c>
      <c r="E87">
        <f>IF(C87="","",C87*D87)</f>
        <v/>
      </c>
      <c r="F87">
        <f>IF(A87="","",SUMIFS(C$2:C87,A$2:A87,A87,B$2:B87,"&lt;="&amp;B87))</f>
        <v/>
      </c>
      <c r="G87">
        <f>IF(A87="","",SUMIFS(Transactions!$D:$D,Transactions!$B:$B,A87,Transactions!$C:$C,"Sell"))</f>
        <v/>
      </c>
      <c r="H87">
        <f>IF(A87="","",MAX(0,MIN(C87,G87-SUM(H$2:H86))))</f>
        <v/>
      </c>
      <c r="I87">
        <f>IF(C87="","",C87-H87)</f>
        <v/>
      </c>
      <c r="J87">
        <f>IF(I87="","",I87*D87)</f>
        <v/>
      </c>
    </row>
    <row r="88">
      <c r="A88">
        <f>IFERROR(INDEX(SORT(FILTER(Transactions!$B:$B,(Transactions!$C:$C="Buy")*(Transactions!$B:$B&lt;&gt;"")),1,1),87),"")</f>
        <v/>
      </c>
      <c r="B88">
        <f>IF(A88="","",INDEX(SORT(FILTER(Transactions!$A:$G,(Transactions!$C:$C="Buy")*(Transactions!$B:$B&lt;&gt;"")),2,1),87,1))</f>
        <v/>
      </c>
      <c r="C88">
        <f>IF(A88="","",INDEX(SORT(FILTER(Transactions!$A:$G,(Transactions!$C:$C="Buy")*(Transactions!$B:$B&lt;&gt;"")),2,1),87,4))</f>
        <v/>
      </c>
      <c r="D88">
        <f>IF(A88="","",INDEX(SORT(FILTER(Transactions!$A:$G,(Transactions!$C:$C="Buy")*(Transactions!$B:$B&lt;&gt;"")),2,1),87,5))</f>
        <v/>
      </c>
      <c r="E88">
        <f>IF(C88="","",C88*D88)</f>
        <v/>
      </c>
      <c r="F88">
        <f>IF(A88="","",SUMIFS(C$2:C88,A$2:A88,A88,B$2:B88,"&lt;="&amp;B88))</f>
        <v/>
      </c>
      <c r="G88">
        <f>IF(A88="","",SUMIFS(Transactions!$D:$D,Transactions!$B:$B,A88,Transactions!$C:$C,"Sell"))</f>
        <v/>
      </c>
      <c r="H88">
        <f>IF(A88="","",MAX(0,MIN(C88,G88-SUM(H$2:H87))))</f>
        <v/>
      </c>
      <c r="I88">
        <f>IF(C88="","",C88-H88)</f>
        <v/>
      </c>
      <c r="J88">
        <f>IF(I88="","",I88*D88)</f>
        <v/>
      </c>
    </row>
    <row r="89">
      <c r="A89">
        <f>IFERROR(INDEX(SORT(FILTER(Transactions!$B:$B,(Transactions!$C:$C="Buy")*(Transactions!$B:$B&lt;&gt;"")),1,1),88),"")</f>
        <v/>
      </c>
      <c r="B89">
        <f>IF(A89="","",INDEX(SORT(FILTER(Transactions!$A:$G,(Transactions!$C:$C="Buy")*(Transactions!$B:$B&lt;&gt;"")),2,1),88,1))</f>
        <v/>
      </c>
      <c r="C89">
        <f>IF(A89="","",INDEX(SORT(FILTER(Transactions!$A:$G,(Transactions!$C:$C="Buy")*(Transactions!$B:$B&lt;&gt;"")),2,1),88,4))</f>
        <v/>
      </c>
      <c r="D89">
        <f>IF(A89="","",INDEX(SORT(FILTER(Transactions!$A:$G,(Transactions!$C:$C="Buy")*(Transactions!$B:$B&lt;&gt;"")),2,1),88,5))</f>
        <v/>
      </c>
      <c r="E89">
        <f>IF(C89="","",C89*D89)</f>
        <v/>
      </c>
      <c r="F89">
        <f>IF(A89="","",SUMIFS(C$2:C89,A$2:A89,A89,B$2:B89,"&lt;="&amp;B89))</f>
        <v/>
      </c>
      <c r="G89">
        <f>IF(A89="","",SUMIFS(Transactions!$D:$D,Transactions!$B:$B,A89,Transactions!$C:$C,"Sell"))</f>
        <v/>
      </c>
      <c r="H89">
        <f>IF(A89="","",MAX(0,MIN(C89,G89-SUM(H$2:H88))))</f>
        <v/>
      </c>
      <c r="I89">
        <f>IF(C89="","",C89-H89)</f>
        <v/>
      </c>
      <c r="J89">
        <f>IF(I89="","",I89*D89)</f>
        <v/>
      </c>
    </row>
    <row r="90">
      <c r="A90">
        <f>IFERROR(INDEX(SORT(FILTER(Transactions!$B:$B,(Transactions!$C:$C="Buy")*(Transactions!$B:$B&lt;&gt;"")),1,1),89),"")</f>
        <v/>
      </c>
      <c r="B90">
        <f>IF(A90="","",INDEX(SORT(FILTER(Transactions!$A:$G,(Transactions!$C:$C="Buy")*(Transactions!$B:$B&lt;&gt;"")),2,1),89,1))</f>
        <v/>
      </c>
      <c r="C90">
        <f>IF(A90="","",INDEX(SORT(FILTER(Transactions!$A:$G,(Transactions!$C:$C="Buy")*(Transactions!$B:$B&lt;&gt;"")),2,1),89,4))</f>
        <v/>
      </c>
      <c r="D90">
        <f>IF(A90="","",INDEX(SORT(FILTER(Transactions!$A:$G,(Transactions!$C:$C="Buy")*(Transactions!$B:$B&lt;&gt;"")),2,1),89,5))</f>
        <v/>
      </c>
      <c r="E90">
        <f>IF(C90="","",C90*D90)</f>
        <v/>
      </c>
      <c r="F90">
        <f>IF(A90="","",SUMIFS(C$2:C90,A$2:A90,A90,B$2:B90,"&lt;="&amp;B90))</f>
        <v/>
      </c>
      <c r="G90">
        <f>IF(A90="","",SUMIFS(Transactions!$D:$D,Transactions!$B:$B,A90,Transactions!$C:$C,"Sell"))</f>
        <v/>
      </c>
      <c r="H90">
        <f>IF(A90="","",MAX(0,MIN(C90,G90-SUM(H$2:H89))))</f>
        <v/>
      </c>
      <c r="I90">
        <f>IF(C90="","",C90-H90)</f>
        <v/>
      </c>
      <c r="J90">
        <f>IF(I90="","",I90*D90)</f>
        <v/>
      </c>
    </row>
    <row r="91">
      <c r="A91">
        <f>IFERROR(INDEX(SORT(FILTER(Transactions!$B:$B,(Transactions!$C:$C="Buy")*(Transactions!$B:$B&lt;&gt;"")),1,1),90),"")</f>
        <v/>
      </c>
      <c r="B91">
        <f>IF(A91="","",INDEX(SORT(FILTER(Transactions!$A:$G,(Transactions!$C:$C="Buy")*(Transactions!$B:$B&lt;&gt;"")),2,1),90,1))</f>
        <v/>
      </c>
      <c r="C91">
        <f>IF(A91="","",INDEX(SORT(FILTER(Transactions!$A:$G,(Transactions!$C:$C="Buy")*(Transactions!$B:$B&lt;&gt;"")),2,1),90,4))</f>
        <v/>
      </c>
      <c r="D91">
        <f>IF(A91="","",INDEX(SORT(FILTER(Transactions!$A:$G,(Transactions!$C:$C="Buy")*(Transactions!$B:$B&lt;&gt;"")),2,1),90,5))</f>
        <v/>
      </c>
      <c r="E91">
        <f>IF(C91="","",C91*D91)</f>
        <v/>
      </c>
      <c r="F91">
        <f>IF(A91="","",SUMIFS(C$2:C91,A$2:A91,A91,B$2:B91,"&lt;="&amp;B91))</f>
        <v/>
      </c>
      <c r="G91">
        <f>IF(A91="","",SUMIFS(Transactions!$D:$D,Transactions!$B:$B,A91,Transactions!$C:$C,"Sell"))</f>
        <v/>
      </c>
      <c r="H91">
        <f>IF(A91="","",MAX(0,MIN(C91,G91-SUM(H$2:H90))))</f>
        <v/>
      </c>
      <c r="I91">
        <f>IF(C91="","",C91-H91)</f>
        <v/>
      </c>
      <c r="J91">
        <f>IF(I91="","",I91*D91)</f>
        <v/>
      </c>
    </row>
    <row r="92">
      <c r="A92">
        <f>IFERROR(INDEX(SORT(FILTER(Transactions!$B:$B,(Transactions!$C:$C="Buy")*(Transactions!$B:$B&lt;&gt;"")),1,1),91),"")</f>
        <v/>
      </c>
      <c r="B92">
        <f>IF(A92="","",INDEX(SORT(FILTER(Transactions!$A:$G,(Transactions!$C:$C="Buy")*(Transactions!$B:$B&lt;&gt;"")),2,1),91,1))</f>
        <v/>
      </c>
      <c r="C92">
        <f>IF(A92="","",INDEX(SORT(FILTER(Transactions!$A:$G,(Transactions!$C:$C="Buy")*(Transactions!$B:$B&lt;&gt;"")),2,1),91,4))</f>
        <v/>
      </c>
      <c r="D92">
        <f>IF(A92="","",INDEX(SORT(FILTER(Transactions!$A:$G,(Transactions!$C:$C="Buy")*(Transactions!$B:$B&lt;&gt;"")),2,1),91,5))</f>
        <v/>
      </c>
      <c r="E92">
        <f>IF(C92="","",C92*D92)</f>
        <v/>
      </c>
      <c r="F92">
        <f>IF(A92="","",SUMIFS(C$2:C92,A$2:A92,A92,B$2:B92,"&lt;="&amp;B92))</f>
        <v/>
      </c>
      <c r="G92">
        <f>IF(A92="","",SUMIFS(Transactions!$D:$D,Transactions!$B:$B,A92,Transactions!$C:$C,"Sell"))</f>
        <v/>
      </c>
      <c r="H92">
        <f>IF(A92="","",MAX(0,MIN(C92,G92-SUM(H$2:H91))))</f>
        <v/>
      </c>
      <c r="I92">
        <f>IF(C92="","",C92-H92)</f>
        <v/>
      </c>
      <c r="J92">
        <f>IF(I92="","",I92*D92)</f>
        <v/>
      </c>
    </row>
    <row r="93">
      <c r="A93">
        <f>IFERROR(INDEX(SORT(FILTER(Transactions!$B:$B,(Transactions!$C:$C="Buy")*(Transactions!$B:$B&lt;&gt;"")),1,1),92),"")</f>
        <v/>
      </c>
      <c r="B93">
        <f>IF(A93="","",INDEX(SORT(FILTER(Transactions!$A:$G,(Transactions!$C:$C="Buy")*(Transactions!$B:$B&lt;&gt;"")),2,1),92,1))</f>
        <v/>
      </c>
      <c r="C93">
        <f>IF(A93="","",INDEX(SORT(FILTER(Transactions!$A:$G,(Transactions!$C:$C="Buy")*(Transactions!$B:$B&lt;&gt;"")),2,1),92,4))</f>
        <v/>
      </c>
      <c r="D93">
        <f>IF(A93="","",INDEX(SORT(FILTER(Transactions!$A:$G,(Transactions!$C:$C="Buy")*(Transactions!$B:$B&lt;&gt;"")),2,1),92,5))</f>
        <v/>
      </c>
      <c r="E93">
        <f>IF(C93="","",C93*D93)</f>
        <v/>
      </c>
      <c r="F93">
        <f>IF(A93="","",SUMIFS(C$2:C93,A$2:A93,A93,B$2:B93,"&lt;="&amp;B93))</f>
        <v/>
      </c>
      <c r="G93">
        <f>IF(A93="","",SUMIFS(Transactions!$D:$D,Transactions!$B:$B,A93,Transactions!$C:$C,"Sell"))</f>
        <v/>
      </c>
      <c r="H93">
        <f>IF(A93="","",MAX(0,MIN(C93,G93-SUM(H$2:H92))))</f>
        <v/>
      </c>
      <c r="I93">
        <f>IF(C93="","",C93-H93)</f>
        <v/>
      </c>
      <c r="J93">
        <f>IF(I93="","",I93*D93)</f>
        <v/>
      </c>
    </row>
    <row r="94">
      <c r="A94">
        <f>IFERROR(INDEX(SORT(FILTER(Transactions!$B:$B,(Transactions!$C:$C="Buy")*(Transactions!$B:$B&lt;&gt;"")),1,1),93),"")</f>
        <v/>
      </c>
      <c r="B94">
        <f>IF(A94="","",INDEX(SORT(FILTER(Transactions!$A:$G,(Transactions!$C:$C="Buy")*(Transactions!$B:$B&lt;&gt;"")),2,1),93,1))</f>
        <v/>
      </c>
      <c r="C94">
        <f>IF(A94="","",INDEX(SORT(FILTER(Transactions!$A:$G,(Transactions!$C:$C="Buy")*(Transactions!$B:$B&lt;&gt;"")),2,1),93,4))</f>
        <v/>
      </c>
      <c r="D94">
        <f>IF(A94="","",INDEX(SORT(FILTER(Transactions!$A:$G,(Transactions!$C:$C="Buy")*(Transactions!$B:$B&lt;&gt;"")),2,1),93,5))</f>
        <v/>
      </c>
      <c r="E94">
        <f>IF(C94="","",C94*D94)</f>
        <v/>
      </c>
      <c r="F94">
        <f>IF(A94="","",SUMIFS(C$2:C94,A$2:A94,A94,B$2:B94,"&lt;="&amp;B94))</f>
        <v/>
      </c>
      <c r="G94">
        <f>IF(A94="","",SUMIFS(Transactions!$D:$D,Transactions!$B:$B,A94,Transactions!$C:$C,"Sell"))</f>
        <v/>
      </c>
      <c r="H94">
        <f>IF(A94="","",MAX(0,MIN(C94,G94-SUM(H$2:H93))))</f>
        <v/>
      </c>
      <c r="I94">
        <f>IF(C94="","",C94-H94)</f>
        <v/>
      </c>
      <c r="J94">
        <f>IF(I94="","",I94*D94)</f>
        <v/>
      </c>
    </row>
    <row r="95">
      <c r="A95">
        <f>IFERROR(INDEX(SORT(FILTER(Transactions!$B:$B,(Transactions!$C:$C="Buy")*(Transactions!$B:$B&lt;&gt;"")),1,1),94),"")</f>
        <v/>
      </c>
      <c r="B95">
        <f>IF(A95="","",INDEX(SORT(FILTER(Transactions!$A:$G,(Transactions!$C:$C="Buy")*(Transactions!$B:$B&lt;&gt;"")),2,1),94,1))</f>
        <v/>
      </c>
      <c r="C95">
        <f>IF(A95="","",INDEX(SORT(FILTER(Transactions!$A:$G,(Transactions!$C:$C="Buy")*(Transactions!$B:$B&lt;&gt;"")),2,1),94,4))</f>
        <v/>
      </c>
      <c r="D95">
        <f>IF(A95="","",INDEX(SORT(FILTER(Transactions!$A:$G,(Transactions!$C:$C="Buy")*(Transactions!$B:$B&lt;&gt;"")),2,1),94,5))</f>
        <v/>
      </c>
      <c r="E95">
        <f>IF(C95="","",C95*D95)</f>
        <v/>
      </c>
      <c r="F95">
        <f>IF(A95="","",SUMIFS(C$2:C95,A$2:A95,A95,B$2:B95,"&lt;="&amp;B95))</f>
        <v/>
      </c>
      <c r="G95">
        <f>IF(A95="","",SUMIFS(Transactions!$D:$D,Transactions!$B:$B,A95,Transactions!$C:$C,"Sell"))</f>
        <v/>
      </c>
      <c r="H95">
        <f>IF(A95="","",MAX(0,MIN(C95,G95-SUM(H$2:H94))))</f>
        <v/>
      </c>
      <c r="I95">
        <f>IF(C95="","",C95-H95)</f>
        <v/>
      </c>
      <c r="J95">
        <f>IF(I95="","",I95*D95)</f>
        <v/>
      </c>
    </row>
    <row r="96">
      <c r="A96">
        <f>IFERROR(INDEX(SORT(FILTER(Transactions!$B:$B,(Transactions!$C:$C="Buy")*(Transactions!$B:$B&lt;&gt;"")),1,1),95),"")</f>
        <v/>
      </c>
      <c r="B96">
        <f>IF(A96="","",INDEX(SORT(FILTER(Transactions!$A:$G,(Transactions!$C:$C="Buy")*(Transactions!$B:$B&lt;&gt;"")),2,1),95,1))</f>
        <v/>
      </c>
      <c r="C96">
        <f>IF(A96="","",INDEX(SORT(FILTER(Transactions!$A:$G,(Transactions!$C:$C="Buy")*(Transactions!$B:$B&lt;&gt;"")),2,1),95,4))</f>
        <v/>
      </c>
      <c r="D96">
        <f>IF(A96="","",INDEX(SORT(FILTER(Transactions!$A:$G,(Transactions!$C:$C="Buy")*(Transactions!$B:$B&lt;&gt;"")),2,1),95,5))</f>
        <v/>
      </c>
      <c r="E96">
        <f>IF(C96="","",C96*D96)</f>
        <v/>
      </c>
      <c r="F96">
        <f>IF(A96="","",SUMIFS(C$2:C96,A$2:A96,A96,B$2:B96,"&lt;="&amp;B96))</f>
        <v/>
      </c>
      <c r="G96">
        <f>IF(A96="","",SUMIFS(Transactions!$D:$D,Transactions!$B:$B,A96,Transactions!$C:$C,"Sell"))</f>
        <v/>
      </c>
      <c r="H96">
        <f>IF(A96="","",MAX(0,MIN(C96,G96-SUM(H$2:H95))))</f>
        <v/>
      </c>
      <c r="I96">
        <f>IF(C96="","",C96-H96)</f>
        <v/>
      </c>
      <c r="J96">
        <f>IF(I96="","",I96*D96)</f>
        <v/>
      </c>
    </row>
    <row r="97">
      <c r="A97">
        <f>IFERROR(INDEX(SORT(FILTER(Transactions!$B:$B,(Transactions!$C:$C="Buy")*(Transactions!$B:$B&lt;&gt;"")),1,1),96),"")</f>
        <v/>
      </c>
      <c r="B97">
        <f>IF(A97="","",INDEX(SORT(FILTER(Transactions!$A:$G,(Transactions!$C:$C="Buy")*(Transactions!$B:$B&lt;&gt;"")),2,1),96,1))</f>
        <v/>
      </c>
      <c r="C97">
        <f>IF(A97="","",INDEX(SORT(FILTER(Transactions!$A:$G,(Transactions!$C:$C="Buy")*(Transactions!$B:$B&lt;&gt;"")),2,1),96,4))</f>
        <v/>
      </c>
      <c r="D97">
        <f>IF(A97="","",INDEX(SORT(FILTER(Transactions!$A:$G,(Transactions!$C:$C="Buy")*(Transactions!$B:$B&lt;&gt;"")),2,1),96,5))</f>
        <v/>
      </c>
      <c r="E97">
        <f>IF(C97="","",C97*D97)</f>
        <v/>
      </c>
      <c r="F97">
        <f>IF(A97="","",SUMIFS(C$2:C97,A$2:A97,A97,B$2:B97,"&lt;="&amp;B97))</f>
        <v/>
      </c>
      <c r="G97">
        <f>IF(A97="","",SUMIFS(Transactions!$D:$D,Transactions!$B:$B,A97,Transactions!$C:$C,"Sell"))</f>
        <v/>
      </c>
      <c r="H97">
        <f>IF(A97="","",MAX(0,MIN(C97,G97-SUM(H$2:H96))))</f>
        <v/>
      </c>
      <c r="I97">
        <f>IF(C97="","",C97-H97)</f>
        <v/>
      </c>
      <c r="J97">
        <f>IF(I97="","",I97*D97)</f>
        <v/>
      </c>
    </row>
    <row r="98">
      <c r="A98">
        <f>IFERROR(INDEX(SORT(FILTER(Transactions!$B:$B,(Transactions!$C:$C="Buy")*(Transactions!$B:$B&lt;&gt;"")),1,1),97),"")</f>
        <v/>
      </c>
      <c r="B98">
        <f>IF(A98="","",INDEX(SORT(FILTER(Transactions!$A:$G,(Transactions!$C:$C="Buy")*(Transactions!$B:$B&lt;&gt;"")),2,1),97,1))</f>
        <v/>
      </c>
      <c r="C98">
        <f>IF(A98="","",INDEX(SORT(FILTER(Transactions!$A:$G,(Transactions!$C:$C="Buy")*(Transactions!$B:$B&lt;&gt;"")),2,1),97,4))</f>
        <v/>
      </c>
      <c r="D98">
        <f>IF(A98="","",INDEX(SORT(FILTER(Transactions!$A:$G,(Transactions!$C:$C="Buy")*(Transactions!$B:$B&lt;&gt;"")),2,1),97,5))</f>
        <v/>
      </c>
      <c r="E98">
        <f>IF(C98="","",C98*D98)</f>
        <v/>
      </c>
      <c r="F98">
        <f>IF(A98="","",SUMIFS(C$2:C98,A$2:A98,A98,B$2:B98,"&lt;="&amp;B98))</f>
        <v/>
      </c>
      <c r="G98">
        <f>IF(A98="","",SUMIFS(Transactions!$D:$D,Transactions!$B:$B,A98,Transactions!$C:$C,"Sell"))</f>
        <v/>
      </c>
      <c r="H98">
        <f>IF(A98="","",MAX(0,MIN(C98,G98-SUM(H$2:H97))))</f>
        <v/>
      </c>
      <c r="I98">
        <f>IF(C98="","",C98-H98)</f>
        <v/>
      </c>
      <c r="J98">
        <f>IF(I98="","",I98*D98)</f>
        <v/>
      </c>
    </row>
    <row r="99">
      <c r="A99">
        <f>IFERROR(INDEX(SORT(FILTER(Transactions!$B:$B,(Transactions!$C:$C="Buy")*(Transactions!$B:$B&lt;&gt;"")),1,1),98),"")</f>
        <v/>
      </c>
      <c r="B99">
        <f>IF(A99="","",INDEX(SORT(FILTER(Transactions!$A:$G,(Transactions!$C:$C="Buy")*(Transactions!$B:$B&lt;&gt;"")),2,1),98,1))</f>
        <v/>
      </c>
      <c r="C99">
        <f>IF(A99="","",INDEX(SORT(FILTER(Transactions!$A:$G,(Transactions!$C:$C="Buy")*(Transactions!$B:$B&lt;&gt;"")),2,1),98,4))</f>
        <v/>
      </c>
      <c r="D99">
        <f>IF(A99="","",INDEX(SORT(FILTER(Transactions!$A:$G,(Transactions!$C:$C="Buy")*(Transactions!$B:$B&lt;&gt;"")),2,1),98,5))</f>
        <v/>
      </c>
      <c r="E99">
        <f>IF(C99="","",C99*D99)</f>
        <v/>
      </c>
      <c r="F99">
        <f>IF(A99="","",SUMIFS(C$2:C99,A$2:A99,A99,B$2:B99,"&lt;="&amp;B99))</f>
        <v/>
      </c>
      <c r="G99">
        <f>IF(A99="","",SUMIFS(Transactions!$D:$D,Transactions!$B:$B,A99,Transactions!$C:$C,"Sell"))</f>
        <v/>
      </c>
      <c r="H99">
        <f>IF(A99="","",MAX(0,MIN(C99,G99-SUM(H$2:H98))))</f>
        <v/>
      </c>
      <c r="I99">
        <f>IF(C99="","",C99-H99)</f>
        <v/>
      </c>
      <c r="J99">
        <f>IF(I99="","",I99*D99)</f>
        <v/>
      </c>
    </row>
    <row r="100">
      <c r="A100">
        <f>IFERROR(INDEX(SORT(FILTER(Transactions!$B:$B,(Transactions!$C:$C="Buy")*(Transactions!$B:$B&lt;&gt;"")),1,1),99),"")</f>
        <v/>
      </c>
      <c r="B100">
        <f>IF(A100="","",INDEX(SORT(FILTER(Transactions!$A:$G,(Transactions!$C:$C="Buy")*(Transactions!$B:$B&lt;&gt;"")),2,1),99,1))</f>
        <v/>
      </c>
      <c r="C100">
        <f>IF(A100="","",INDEX(SORT(FILTER(Transactions!$A:$G,(Transactions!$C:$C="Buy")*(Transactions!$B:$B&lt;&gt;"")),2,1),99,4))</f>
        <v/>
      </c>
      <c r="D100">
        <f>IF(A100="","",INDEX(SORT(FILTER(Transactions!$A:$G,(Transactions!$C:$C="Buy")*(Transactions!$B:$B&lt;&gt;"")),2,1),99,5))</f>
        <v/>
      </c>
      <c r="E100">
        <f>IF(C100="","",C100*D100)</f>
        <v/>
      </c>
      <c r="F100">
        <f>IF(A100="","",SUMIFS(C$2:C100,A$2:A100,A100,B$2:B100,"&lt;="&amp;B100))</f>
        <v/>
      </c>
      <c r="G100">
        <f>IF(A100="","",SUMIFS(Transactions!$D:$D,Transactions!$B:$B,A100,Transactions!$C:$C,"Sell"))</f>
        <v/>
      </c>
      <c r="H100">
        <f>IF(A100="","",MAX(0,MIN(C100,G100-SUM(H$2:H99))))</f>
        <v/>
      </c>
      <c r="I100">
        <f>IF(C100="","",C100-H100)</f>
        <v/>
      </c>
      <c r="J100">
        <f>IF(I100="","",I100*D100)</f>
        <v/>
      </c>
    </row>
    <row r="101">
      <c r="A101">
        <f>IFERROR(INDEX(SORT(FILTER(Transactions!$B:$B,(Transactions!$C:$C="Buy")*(Transactions!$B:$B&lt;&gt;"")),1,1),100),"")</f>
        <v/>
      </c>
      <c r="B101">
        <f>IF(A101="","",INDEX(SORT(FILTER(Transactions!$A:$G,(Transactions!$C:$C="Buy")*(Transactions!$B:$B&lt;&gt;"")),2,1),100,1))</f>
        <v/>
      </c>
      <c r="C101">
        <f>IF(A101="","",INDEX(SORT(FILTER(Transactions!$A:$G,(Transactions!$C:$C="Buy")*(Transactions!$B:$B&lt;&gt;"")),2,1),100,4))</f>
        <v/>
      </c>
      <c r="D101">
        <f>IF(A101="","",INDEX(SORT(FILTER(Transactions!$A:$G,(Transactions!$C:$C="Buy")*(Transactions!$B:$B&lt;&gt;"")),2,1),100,5))</f>
        <v/>
      </c>
      <c r="E101">
        <f>IF(C101="","",C101*D101)</f>
        <v/>
      </c>
      <c r="F101">
        <f>IF(A101="","",SUMIFS(C$2:C101,A$2:A101,A101,B$2:B101,"&lt;="&amp;B101))</f>
        <v/>
      </c>
      <c r="G101">
        <f>IF(A101="","",SUMIFS(Transactions!$D:$D,Transactions!$B:$B,A101,Transactions!$C:$C,"Sell"))</f>
        <v/>
      </c>
      <c r="H101">
        <f>IF(A101="","",MAX(0,MIN(C101,G101-SUM(H$2:H100))))</f>
        <v/>
      </c>
      <c r="I101">
        <f>IF(C101="","",C101-H101)</f>
        <v/>
      </c>
      <c r="J101">
        <f>IF(I101="","",I101*D101)</f>
        <v/>
      </c>
    </row>
    <row r="102">
      <c r="A102">
        <f>IFERROR(INDEX(SORT(FILTER(Transactions!$B:$B,(Transactions!$C:$C="Buy")*(Transactions!$B:$B&lt;&gt;"")),1,1),101),"")</f>
        <v/>
      </c>
      <c r="B102">
        <f>IF(A102="","",INDEX(SORT(FILTER(Transactions!$A:$G,(Transactions!$C:$C="Buy")*(Transactions!$B:$B&lt;&gt;"")),2,1),101,1))</f>
        <v/>
      </c>
      <c r="C102">
        <f>IF(A102="","",INDEX(SORT(FILTER(Transactions!$A:$G,(Transactions!$C:$C="Buy")*(Transactions!$B:$B&lt;&gt;"")),2,1),101,4))</f>
        <v/>
      </c>
      <c r="D102">
        <f>IF(A102="","",INDEX(SORT(FILTER(Transactions!$A:$G,(Transactions!$C:$C="Buy")*(Transactions!$B:$B&lt;&gt;"")),2,1),101,5))</f>
        <v/>
      </c>
      <c r="E102">
        <f>IF(C102="","",C102*D102)</f>
        <v/>
      </c>
      <c r="F102">
        <f>IF(A102="","",SUMIFS(C$2:C102,A$2:A102,A102,B$2:B102,"&lt;="&amp;B102))</f>
        <v/>
      </c>
      <c r="G102">
        <f>IF(A102="","",SUMIFS(Transactions!$D:$D,Transactions!$B:$B,A102,Transactions!$C:$C,"Sell"))</f>
        <v/>
      </c>
      <c r="H102">
        <f>IF(A102="","",MAX(0,MIN(C102,G102-SUM(H$2:H101))))</f>
        <v/>
      </c>
      <c r="I102">
        <f>IF(C102="","",C102-H102)</f>
        <v/>
      </c>
      <c r="J102">
        <f>IF(I102="","",I102*D102)</f>
        <v/>
      </c>
    </row>
    <row r="103">
      <c r="A103">
        <f>IFERROR(INDEX(SORT(FILTER(Transactions!$B:$B,(Transactions!$C:$C="Buy")*(Transactions!$B:$B&lt;&gt;"")),1,1),102),"")</f>
        <v/>
      </c>
      <c r="B103">
        <f>IF(A103="","",INDEX(SORT(FILTER(Transactions!$A:$G,(Transactions!$C:$C="Buy")*(Transactions!$B:$B&lt;&gt;"")),2,1),102,1))</f>
        <v/>
      </c>
      <c r="C103">
        <f>IF(A103="","",INDEX(SORT(FILTER(Transactions!$A:$G,(Transactions!$C:$C="Buy")*(Transactions!$B:$B&lt;&gt;"")),2,1),102,4))</f>
        <v/>
      </c>
      <c r="D103">
        <f>IF(A103="","",INDEX(SORT(FILTER(Transactions!$A:$G,(Transactions!$C:$C="Buy")*(Transactions!$B:$B&lt;&gt;"")),2,1),102,5))</f>
        <v/>
      </c>
      <c r="E103">
        <f>IF(C103="","",C103*D103)</f>
        <v/>
      </c>
      <c r="F103">
        <f>IF(A103="","",SUMIFS(C$2:C103,A$2:A103,A103,B$2:B103,"&lt;="&amp;B103))</f>
        <v/>
      </c>
      <c r="G103">
        <f>IF(A103="","",SUMIFS(Transactions!$D:$D,Transactions!$B:$B,A103,Transactions!$C:$C,"Sell"))</f>
        <v/>
      </c>
      <c r="H103">
        <f>IF(A103="","",MAX(0,MIN(C103,G103-SUM(H$2:H102))))</f>
        <v/>
      </c>
      <c r="I103">
        <f>IF(C103="","",C103-H103)</f>
        <v/>
      </c>
      <c r="J103">
        <f>IF(I103="","",I103*D103)</f>
        <v/>
      </c>
    </row>
    <row r="104">
      <c r="A104">
        <f>IFERROR(INDEX(SORT(FILTER(Transactions!$B:$B,(Transactions!$C:$C="Buy")*(Transactions!$B:$B&lt;&gt;"")),1,1),103),"")</f>
        <v/>
      </c>
      <c r="B104">
        <f>IF(A104="","",INDEX(SORT(FILTER(Transactions!$A:$G,(Transactions!$C:$C="Buy")*(Transactions!$B:$B&lt;&gt;"")),2,1),103,1))</f>
        <v/>
      </c>
      <c r="C104">
        <f>IF(A104="","",INDEX(SORT(FILTER(Transactions!$A:$G,(Transactions!$C:$C="Buy")*(Transactions!$B:$B&lt;&gt;"")),2,1),103,4))</f>
        <v/>
      </c>
      <c r="D104">
        <f>IF(A104="","",INDEX(SORT(FILTER(Transactions!$A:$G,(Transactions!$C:$C="Buy")*(Transactions!$B:$B&lt;&gt;"")),2,1),103,5))</f>
        <v/>
      </c>
      <c r="E104">
        <f>IF(C104="","",C104*D104)</f>
        <v/>
      </c>
      <c r="F104">
        <f>IF(A104="","",SUMIFS(C$2:C104,A$2:A104,A104,B$2:B104,"&lt;="&amp;B104))</f>
        <v/>
      </c>
      <c r="G104">
        <f>IF(A104="","",SUMIFS(Transactions!$D:$D,Transactions!$B:$B,A104,Transactions!$C:$C,"Sell"))</f>
        <v/>
      </c>
      <c r="H104">
        <f>IF(A104="","",MAX(0,MIN(C104,G104-SUM(H$2:H103))))</f>
        <v/>
      </c>
      <c r="I104">
        <f>IF(C104="","",C104-H104)</f>
        <v/>
      </c>
      <c r="J104">
        <f>IF(I104="","",I104*D104)</f>
        <v/>
      </c>
    </row>
    <row r="105">
      <c r="A105">
        <f>IFERROR(INDEX(SORT(FILTER(Transactions!$B:$B,(Transactions!$C:$C="Buy")*(Transactions!$B:$B&lt;&gt;"")),1,1),104),"")</f>
        <v/>
      </c>
      <c r="B105">
        <f>IF(A105="","",INDEX(SORT(FILTER(Transactions!$A:$G,(Transactions!$C:$C="Buy")*(Transactions!$B:$B&lt;&gt;"")),2,1),104,1))</f>
        <v/>
      </c>
      <c r="C105">
        <f>IF(A105="","",INDEX(SORT(FILTER(Transactions!$A:$G,(Transactions!$C:$C="Buy")*(Transactions!$B:$B&lt;&gt;"")),2,1),104,4))</f>
        <v/>
      </c>
      <c r="D105">
        <f>IF(A105="","",INDEX(SORT(FILTER(Transactions!$A:$G,(Transactions!$C:$C="Buy")*(Transactions!$B:$B&lt;&gt;"")),2,1),104,5))</f>
        <v/>
      </c>
      <c r="E105">
        <f>IF(C105="","",C105*D105)</f>
        <v/>
      </c>
      <c r="F105">
        <f>IF(A105="","",SUMIFS(C$2:C105,A$2:A105,A105,B$2:B105,"&lt;="&amp;B105))</f>
        <v/>
      </c>
      <c r="G105">
        <f>IF(A105="","",SUMIFS(Transactions!$D:$D,Transactions!$B:$B,A105,Transactions!$C:$C,"Sell"))</f>
        <v/>
      </c>
      <c r="H105">
        <f>IF(A105="","",MAX(0,MIN(C105,G105-SUM(H$2:H104))))</f>
        <v/>
      </c>
      <c r="I105">
        <f>IF(C105="","",C105-H105)</f>
        <v/>
      </c>
      <c r="J105">
        <f>IF(I105="","",I105*D105)</f>
        <v/>
      </c>
    </row>
    <row r="106">
      <c r="A106">
        <f>IFERROR(INDEX(SORT(FILTER(Transactions!$B:$B,(Transactions!$C:$C="Buy")*(Transactions!$B:$B&lt;&gt;"")),1,1),105),"")</f>
        <v/>
      </c>
      <c r="B106">
        <f>IF(A106="","",INDEX(SORT(FILTER(Transactions!$A:$G,(Transactions!$C:$C="Buy")*(Transactions!$B:$B&lt;&gt;"")),2,1),105,1))</f>
        <v/>
      </c>
      <c r="C106">
        <f>IF(A106="","",INDEX(SORT(FILTER(Transactions!$A:$G,(Transactions!$C:$C="Buy")*(Transactions!$B:$B&lt;&gt;"")),2,1),105,4))</f>
        <v/>
      </c>
      <c r="D106">
        <f>IF(A106="","",INDEX(SORT(FILTER(Transactions!$A:$G,(Transactions!$C:$C="Buy")*(Transactions!$B:$B&lt;&gt;"")),2,1),105,5))</f>
        <v/>
      </c>
      <c r="E106">
        <f>IF(C106="","",C106*D106)</f>
        <v/>
      </c>
      <c r="F106">
        <f>IF(A106="","",SUMIFS(C$2:C106,A$2:A106,A106,B$2:B106,"&lt;="&amp;B106))</f>
        <v/>
      </c>
      <c r="G106">
        <f>IF(A106="","",SUMIFS(Transactions!$D:$D,Transactions!$B:$B,A106,Transactions!$C:$C,"Sell"))</f>
        <v/>
      </c>
      <c r="H106">
        <f>IF(A106="","",MAX(0,MIN(C106,G106-SUM(H$2:H105))))</f>
        <v/>
      </c>
      <c r="I106">
        <f>IF(C106="","",C106-H106)</f>
        <v/>
      </c>
      <c r="J106">
        <f>IF(I106="","",I106*D106)</f>
        <v/>
      </c>
    </row>
    <row r="107">
      <c r="A107">
        <f>IFERROR(INDEX(SORT(FILTER(Transactions!$B:$B,(Transactions!$C:$C="Buy")*(Transactions!$B:$B&lt;&gt;"")),1,1),106),"")</f>
        <v/>
      </c>
      <c r="B107">
        <f>IF(A107="","",INDEX(SORT(FILTER(Transactions!$A:$G,(Transactions!$C:$C="Buy")*(Transactions!$B:$B&lt;&gt;"")),2,1),106,1))</f>
        <v/>
      </c>
      <c r="C107">
        <f>IF(A107="","",INDEX(SORT(FILTER(Transactions!$A:$G,(Transactions!$C:$C="Buy")*(Transactions!$B:$B&lt;&gt;"")),2,1),106,4))</f>
        <v/>
      </c>
      <c r="D107">
        <f>IF(A107="","",INDEX(SORT(FILTER(Transactions!$A:$G,(Transactions!$C:$C="Buy")*(Transactions!$B:$B&lt;&gt;"")),2,1),106,5))</f>
        <v/>
      </c>
      <c r="E107">
        <f>IF(C107="","",C107*D107)</f>
        <v/>
      </c>
      <c r="F107">
        <f>IF(A107="","",SUMIFS(C$2:C107,A$2:A107,A107,B$2:B107,"&lt;="&amp;B107))</f>
        <v/>
      </c>
      <c r="G107">
        <f>IF(A107="","",SUMIFS(Transactions!$D:$D,Transactions!$B:$B,A107,Transactions!$C:$C,"Sell"))</f>
        <v/>
      </c>
      <c r="H107">
        <f>IF(A107="","",MAX(0,MIN(C107,G107-SUM(H$2:H106))))</f>
        <v/>
      </c>
      <c r="I107">
        <f>IF(C107="","",C107-H107)</f>
        <v/>
      </c>
      <c r="J107">
        <f>IF(I107="","",I107*D107)</f>
        <v/>
      </c>
    </row>
    <row r="108">
      <c r="A108">
        <f>IFERROR(INDEX(SORT(FILTER(Transactions!$B:$B,(Transactions!$C:$C="Buy")*(Transactions!$B:$B&lt;&gt;"")),1,1),107),"")</f>
        <v/>
      </c>
      <c r="B108">
        <f>IF(A108="","",INDEX(SORT(FILTER(Transactions!$A:$G,(Transactions!$C:$C="Buy")*(Transactions!$B:$B&lt;&gt;"")),2,1),107,1))</f>
        <v/>
      </c>
      <c r="C108">
        <f>IF(A108="","",INDEX(SORT(FILTER(Transactions!$A:$G,(Transactions!$C:$C="Buy")*(Transactions!$B:$B&lt;&gt;"")),2,1),107,4))</f>
        <v/>
      </c>
      <c r="D108">
        <f>IF(A108="","",INDEX(SORT(FILTER(Transactions!$A:$G,(Transactions!$C:$C="Buy")*(Transactions!$B:$B&lt;&gt;"")),2,1),107,5))</f>
        <v/>
      </c>
      <c r="E108">
        <f>IF(C108="","",C108*D108)</f>
        <v/>
      </c>
      <c r="F108">
        <f>IF(A108="","",SUMIFS(C$2:C108,A$2:A108,A108,B$2:B108,"&lt;="&amp;B108))</f>
        <v/>
      </c>
      <c r="G108">
        <f>IF(A108="","",SUMIFS(Transactions!$D:$D,Transactions!$B:$B,A108,Transactions!$C:$C,"Sell"))</f>
        <v/>
      </c>
      <c r="H108">
        <f>IF(A108="","",MAX(0,MIN(C108,G108-SUM(H$2:H107))))</f>
        <v/>
      </c>
      <c r="I108">
        <f>IF(C108="","",C108-H108)</f>
        <v/>
      </c>
      <c r="J108">
        <f>IF(I108="","",I108*D108)</f>
        <v/>
      </c>
    </row>
    <row r="109">
      <c r="A109">
        <f>IFERROR(INDEX(SORT(FILTER(Transactions!$B:$B,(Transactions!$C:$C="Buy")*(Transactions!$B:$B&lt;&gt;"")),1,1),108),"")</f>
        <v/>
      </c>
      <c r="B109">
        <f>IF(A109="","",INDEX(SORT(FILTER(Transactions!$A:$G,(Transactions!$C:$C="Buy")*(Transactions!$B:$B&lt;&gt;"")),2,1),108,1))</f>
        <v/>
      </c>
      <c r="C109">
        <f>IF(A109="","",INDEX(SORT(FILTER(Transactions!$A:$G,(Transactions!$C:$C="Buy")*(Transactions!$B:$B&lt;&gt;"")),2,1),108,4))</f>
        <v/>
      </c>
      <c r="D109">
        <f>IF(A109="","",INDEX(SORT(FILTER(Transactions!$A:$G,(Transactions!$C:$C="Buy")*(Transactions!$B:$B&lt;&gt;"")),2,1),108,5))</f>
        <v/>
      </c>
      <c r="E109">
        <f>IF(C109="","",C109*D109)</f>
        <v/>
      </c>
      <c r="F109">
        <f>IF(A109="","",SUMIFS(C$2:C109,A$2:A109,A109,B$2:B109,"&lt;="&amp;B109))</f>
        <v/>
      </c>
      <c r="G109">
        <f>IF(A109="","",SUMIFS(Transactions!$D:$D,Transactions!$B:$B,A109,Transactions!$C:$C,"Sell"))</f>
        <v/>
      </c>
      <c r="H109">
        <f>IF(A109="","",MAX(0,MIN(C109,G109-SUM(H$2:H108))))</f>
        <v/>
      </c>
      <c r="I109">
        <f>IF(C109="","",C109-H109)</f>
        <v/>
      </c>
      <c r="J109">
        <f>IF(I109="","",I109*D109)</f>
        <v/>
      </c>
    </row>
    <row r="110">
      <c r="A110">
        <f>IFERROR(INDEX(SORT(FILTER(Transactions!$B:$B,(Transactions!$C:$C="Buy")*(Transactions!$B:$B&lt;&gt;"")),1,1),109),"")</f>
        <v/>
      </c>
      <c r="B110">
        <f>IF(A110="","",INDEX(SORT(FILTER(Transactions!$A:$G,(Transactions!$C:$C="Buy")*(Transactions!$B:$B&lt;&gt;"")),2,1),109,1))</f>
        <v/>
      </c>
      <c r="C110">
        <f>IF(A110="","",INDEX(SORT(FILTER(Transactions!$A:$G,(Transactions!$C:$C="Buy")*(Transactions!$B:$B&lt;&gt;"")),2,1),109,4))</f>
        <v/>
      </c>
      <c r="D110">
        <f>IF(A110="","",INDEX(SORT(FILTER(Transactions!$A:$G,(Transactions!$C:$C="Buy")*(Transactions!$B:$B&lt;&gt;"")),2,1),109,5))</f>
        <v/>
      </c>
      <c r="E110">
        <f>IF(C110="","",C110*D110)</f>
        <v/>
      </c>
      <c r="F110">
        <f>IF(A110="","",SUMIFS(C$2:C110,A$2:A110,A110,B$2:B110,"&lt;="&amp;B110))</f>
        <v/>
      </c>
      <c r="G110">
        <f>IF(A110="","",SUMIFS(Transactions!$D:$D,Transactions!$B:$B,A110,Transactions!$C:$C,"Sell"))</f>
        <v/>
      </c>
      <c r="H110">
        <f>IF(A110="","",MAX(0,MIN(C110,G110-SUM(H$2:H109))))</f>
        <v/>
      </c>
      <c r="I110">
        <f>IF(C110="","",C110-H110)</f>
        <v/>
      </c>
      <c r="J110">
        <f>IF(I110="","",I110*D110)</f>
        <v/>
      </c>
    </row>
    <row r="111">
      <c r="A111">
        <f>IFERROR(INDEX(SORT(FILTER(Transactions!$B:$B,(Transactions!$C:$C="Buy")*(Transactions!$B:$B&lt;&gt;"")),1,1),110),"")</f>
        <v/>
      </c>
      <c r="B111">
        <f>IF(A111="","",INDEX(SORT(FILTER(Transactions!$A:$G,(Transactions!$C:$C="Buy")*(Transactions!$B:$B&lt;&gt;"")),2,1),110,1))</f>
        <v/>
      </c>
      <c r="C111">
        <f>IF(A111="","",INDEX(SORT(FILTER(Transactions!$A:$G,(Transactions!$C:$C="Buy")*(Transactions!$B:$B&lt;&gt;"")),2,1),110,4))</f>
        <v/>
      </c>
      <c r="D111">
        <f>IF(A111="","",INDEX(SORT(FILTER(Transactions!$A:$G,(Transactions!$C:$C="Buy")*(Transactions!$B:$B&lt;&gt;"")),2,1),110,5))</f>
        <v/>
      </c>
      <c r="E111">
        <f>IF(C111="","",C111*D111)</f>
        <v/>
      </c>
      <c r="F111">
        <f>IF(A111="","",SUMIFS(C$2:C111,A$2:A111,A111,B$2:B111,"&lt;="&amp;B111))</f>
        <v/>
      </c>
      <c r="G111">
        <f>IF(A111="","",SUMIFS(Transactions!$D:$D,Transactions!$B:$B,A111,Transactions!$C:$C,"Sell"))</f>
        <v/>
      </c>
      <c r="H111">
        <f>IF(A111="","",MAX(0,MIN(C111,G111-SUM(H$2:H110))))</f>
        <v/>
      </c>
      <c r="I111">
        <f>IF(C111="","",C111-H111)</f>
        <v/>
      </c>
      <c r="J111">
        <f>IF(I111="","",I111*D111)</f>
        <v/>
      </c>
    </row>
    <row r="112">
      <c r="A112">
        <f>IFERROR(INDEX(SORT(FILTER(Transactions!$B:$B,(Transactions!$C:$C="Buy")*(Transactions!$B:$B&lt;&gt;"")),1,1),111),"")</f>
        <v/>
      </c>
      <c r="B112">
        <f>IF(A112="","",INDEX(SORT(FILTER(Transactions!$A:$G,(Transactions!$C:$C="Buy")*(Transactions!$B:$B&lt;&gt;"")),2,1),111,1))</f>
        <v/>
      </c>
      <c r="C112">
        <f>IF(A112="","",INDEX(SORT(FILTER(Transactions!$A:$G,(Transactions!$C:$C="Buy")*(Transactions!$B:$B&lt;&gt;"")),2,1),111,4))</f>
        <v/>
      </c>
      <c r="D112">
        <f>IF(A112="","",INDEX(SORT(FILTER(Transactions!$A:$G,(Transactions!$C:$C="Buy")*(Transactions!$B:$B&lt;&gt;"")),2,1),111,5))</f>
        <v/>
      </c>
      <c r="E112">
        <f>IF(C112="","",C112*D112)</f>
        <v/>
      </c>
      <c r="F112">
        <f>IF(A112="","",SUMIFS(C$2:C112,A$2:A112,A112,B$2:B112,"&lt;="&amp;B112))</f>
        <v/>
      </c>
      <c r="G112">
        <f>IF(A112="","",SUMIFS(Transactions!$D:$D,Transactions!$B:$B,A112,Transactions!$C:$C,"Sell"))</f>
        <v/>
      </c>
      <c r="H112">
        <f>IF(A112="","",MAX(0,MIN(C112,G112-SUM(H$2:H111))))</f>
        <v/>
      </c>
      <c r="I112">
        <f>IF(C112="","",C112-H112)</f>
        <v/>
      </c>
      <c r="J112">
        <f>IF(I112="","",I112*D112)</f>
        <v/>
      </c>
    </row>
    <row r="113">
      <c r="A113">
        <f>IFERROR(INDEX(SORT(FILTER(Transactions!$B:$B,(Transactions!$C:$C="Buy")*(Transactions!$B:$B&lt;&gt;"")),1,1),112),"")</f>
        <v/>
      </c>
      <c r="B113">
        <f>IF(A113="","",INDEX(SORT(FILTER(Transactions!$A:$G,(Transactions!$C:$C="Buy")*(Transactions!$B:$B&lt;&gt;"")),2,1),112,1))</f>
        <v/>
      </c>
      <c r="C113">
        <f>IF(A113="","",INDEX(SORT(FILTER(Transactions!$A:$G,(Transactions!$C:$C="Buy")*(Transactions!$B:$B&lt;&gt;"")),2,1),112,4))</f>
        <v/>
      </c>
      <c r="D113">
        <f>IF(A113="","",INDEX(SORT(FILTER(Transactions!$A:$G,(Transactions!$C:$C="Buy")*(Transactions!$B:$B&lt;&gt;"")),2,1),112,5))</f>
        <v/>
      </c>
      <c r="E113">
        <f>IF(C113="","",C113*D113)</f>
        <v/>
      </c>
      <c r="F113">
        <f>IF(A113="","",SUMIFS(C$2:C113,A$2:A113,A113,B$2:B113,"&lt;="&amp;B113))</f>
        <v/>
      </c>
      <c r="G113">
        <f>IF(A113="","",SUMIFS(Transactions!$D:$D,Transactions!$B:$B,A113,Transactions!$C:$C,"Sell"))</f>
        <v/>
      </c>
      <c r="H113">
        <f>IF(A113="","",MAX(0,MIN(C113,G113-SUM(H$2:H112))))</f>
        <v/>
      </c>
      <c r="I113">
        <f>IF(C113="","",C113-H113)</f>
        <v/>
      </c>
      <c r="J113">
        <f>IF(I113="","",I113*D113)</f>
        <v/>
      </c>
    </row>
    <row r="114">
      <c r="A114">
        <f>IFERROR(INDEX(SORT(FILTER(Transactions!$B:$B,(Transactions!$C:$C="Buy")*(Transactions!$B:$B&lt;&gt;"")),1,1),113),"")</f>
        <v/>
      </c>
      <c r="B114">
        <f>IF(A114="","",INDEX(SORT(FILTER(Transactions!$A:$G,(Transactions!$C:$C="Buy")*(Transactions!$B:$B&lt;&gt;"")),2,1),113,1))</f>
        <v/>
      </c>
      <c r="C114">
        <f>IF(A114="","",INDEX(SORT(FILTER(Transactions!$A:$G,(Transactions!$C:$C="Buy")*(Transactions!$B:$B&lt;&gt;"")),2,1),113,4))</f>
        <v/>
      </c>
      <c r="D114">
        <f>IF(A114="","",INDEX(SORT(FILTER(Transactions!$A:$G,(Transactions!$C:$C="Buy")*(Transactions!$B:$B&lt;&gt;"")),2,1),113,5))</f>
        <v/>
      </c>
      <c r="E114">
        <f>IF(C114="","",C114*D114)</f>
        <v/>
      </c>
      <c r="F114">
        <f>IF(A114="","",SUMIFS(C$2:C114,A$2:A114,A114,B$2:B114,"&lt;="&amp;B114))</f>
        <v/>
      </c>
      <c r="G114">
        <f>IF(A114="","",SUMIFS(Transactions!$D:$D,Transactions!$B:$B,A114,Transactions!$C:$C,"Sell"))</f>
        <v/>
      </c>
      <c r="H114">
        <f>IF(A114="","",MAX(0,MIN(C114,G114-SUM(H$2:H113))))</f>
        <v/>
      </c>
      <c r="I114">
        <f>IF(C114="","",C114-H114)</f>
        <v/>
      </c>
      <c r="J114">
        <f>IF(I114="","",I114*D114)</f>
        <v/>
      </c>
    </row>
    <row r="115">
      <c r="A115">
        <f>IFERROR(INDEX(SORT(FILTER(Transactions!$B:$B,(Transactions!$C:$C="Buy")*(Transactions!$B:$B&lt;&gt;"")),1,1),114),"")</f>
        <v/>
      </c>
      <c r="B115">
        <f>IF(A115="","",INDEX(SORT(FILTER(Transactions!$A:$G,(Transactions!$C:$C="Buy")*(Transactions!$B:$B&lt;&gt;"")),2,1),114,1))</f>
        <v/>
      </c>
      <c r="C115">
        <f>IF(A115="","",INDEX(SORT(FILTER(Transactions!$A:$G,(Transactions!$C:$C="Buy")*(Transactions!$B:$B&lt;&gt;"")),2,1),114,4))</f>
        <v/>
      </c>
      <c r="D115">
        <f>IF(A115="","",INDEX(SORT(FILTER(Transactions!$A:$G,(Transactions!$C:$C="Buy")*(Transactions!$B:$B&lt;&gt;"")),2,1),114,5))</f>
        <v/>
      </c>
      <c r="E115">
        <f>IF(C115="","",C115*D115)</f>
        <v/>
      </c>
      <c r="F115">
        <f>IF(A115="","",SUMIFS(C$2:C115,A$2:A115,A115,B$2:B115,"&lt;="&amp;B115))</f>
        <v/>
      </c>
      <c r="G115">
        <f>IF(A115="","",SUMIFS(Transactions!$D:$D,Transactions!$B:$B,A115,Transactions!$C:$C,"Sell"))</f>
        <v/>
      </c>
      <c r="H115">
        <f>IF(A115="","",MAX(0,MIN(C115,G115-SUM(H$2:H114))))</f>
        <v/>
      </c>
      <c r="I115">
        <f>IF(C115="","",C115-H115)</f>
        <v/>
      </c>
      <c r="J115">
        <f>IF(I115="","",I115*D115)</f>
        <v/>
      </c>
    </row>
    <row r="116">
      <c r="A116">
        <f>IFERROR(INDEX(SORT(FILTER(Transactions!$B:$B,(Transactions!$C:$C="Buy")*(Transactions!$B:$B&lt;&gt;"")),1,1),115),"")</f>
        <v/>
      </c>
      <c r="B116">
        <f>IF(A116="","",INDEX(SORT(FILTER(Transactions!$A:$G,(Transactions!$C:$C="Buy")*(Transactions!$B:$B&lt;&gt;"")),2,1),115,1))</f>
        <v/>
      </c>
      <c r="C116">
        <f>IF(A116="","",INDEX(SORT(FILTER(Transactions!$A:$G,(Transactions!$C:$C="Buy")*(Transactions!$B:$B&lt;&gt;"")),2,1),115,4))</f>
        <v/>
      </c>
      <c r="D116">
        <f>IF(A116="","",INDEX(SORT(FILTER(Transactions!$A:$G,(Transactions!$C:$C="Buy")*(Transactions!$B:$B&lt;&gt;"")),2,1),115,5))</f>
        <v/>
      </c>
      <c r="E116">
        <f>IF(C116="","",C116*D116)</f>
        <v/>
      </c>
      <c r="F116">
        <f>IF(A116="","",SUMIFS(C$2:C116,A$2:A116,A116,B$2:B116,"&lt;="&amp;B116))</f>
        <v/>
      </c>
      <c r="G116">
        <f>IF(A116="","",SUMIFS(Transactions!$D:$D,Transactions!$B:$B,A116,Transactions!$C:$C,"Sell"))</f>
        <v/>
      </c>
      <c r="H116">
        <f>IF(A116="","",MAX(0,MIN(C116,G116-SUM(H$2:H115))))</f>
        <v/>
      </c>
      <c r="I116">
        <f>IF(C116="","",C116-H116)</f>
        <v/>
      </c>
      <c r="J116">
        <f>IF(I116="","",I116*D116)</f>
        <v/>
      </c>
    </row>
    <row r="117">
      <c r="A117">
        <f>IFERROR(INDEX(SORT(FILTER(Transactions!$B:$B,(Transactions!$C:$C="Buy")*(Transactions!$B:$B&lt;&gt;"")),1,1),116),"")</f>
        <v/>
      </c>
      <c r="B117">
        <f>IF(A117="","",INDEX(SORT(FILTER(Transactions!$A:$G,(Transactions!$C:$C="Buy")*(Transactions!$B:$B&lt;&gt;"")),2,1),116,1))</f>
        <v/>
      </c>
      <c r="C117">
        <f>IF(A117="","",INDEX(SORT(FILTER(Transactions!$A:$G,(Transactions!$C:$C="Buy")*(Transactions!$B:$B&lt;&gt;"")),2,1),116,4))</f>
        <v/>
      </c>
      <c r="D117">
        <f>IF(A117="","",INDEX(SORT(FILTER(Transactions!$A:$G,(Transactions!$C:$C="Buy")*(Transactions!$B:$B&lt;&gt;"")),2,1),116,5))</f>
        <v/>
      </c>
      <c r="E117">
        <f>IF(C117="","",C117*D117)</f>
        <v/>
      </c>
      <c r="F117">
        <f>IF(A117="","",SUMIFS(C$2:C117,A$2:A117,A117,B$2:B117,"&lt;="&amp;B117))</f>
        <v/>
      </c>
      <c r="G117">
        <f>IF(A117="","",SUMIFS(Transactions!$D:$D,Transactions!$B:$B,A117,Transactions!$C:$C,"Sell"))</f>
        <v/>
      </c>
      <c r="H117">
        <f>IF(A117="","",MAX(0,MIN(C117,G117-SUM(H$2:H116))))</f>
        <v/>
      </c>
      <c r="I117">
        <f>IF(C117="","",C117-H117)</f>
        <v/>
      </c>
      <c r="J117">
        <f>IF(I117="","",I117*D117)</f>
        <v/>
      </c>
    </row>
    <row r="118">
      <c r="A118">
        <f>IFERROR(INDEX(SORT(FILTER(Transactions!$B:$B,(Transactions!$C:$C="Buy")*(Transactions!$B:$B&lt;&gt;"")),1,1),117),"")</f>
        <v/>
      </c>
      <c r="B118">
        <f>IF(A118="","",INDEX(SORT(FILTER(Transactions!$A:$G,(Transactions!$C:$C="Buy")*(Transactions!$B:$B&lt;&gt;"")),2,1),117,1))</f>
        <v/>
      </c>
      <c r="C118">
        <f>IF(A118="","",INDEX(SORT(FILTER(Transactions!$A:$G,(Transactions!$C:$C="Buy")*(Transactions!$B:$B&lt;&gt;"")),2,1),117,4))</f>
        <v/>
      </c>
      <c r="D118">
        <f>IF(A118="","",INDEX(SORT(FILTER(Transactions!$A:$G,(Transactions!$C:$C="Buy")*(Transactions!$B:$B&lt;&gt;"")),2,1),117,5))</f>
        <v/>
      </c>
      <c r="E118">
        <f>IF(C118="","",C118*D118)</f>
        <v/>
      </c>
      <c r="F118">
        <f>IF(A118="","",SUMIFS(C$2:C118,A$2:A118,A118,B$2:B118,"&lt;="&amp;B118))</f>
        <v/>
      </c>
      <c r="G118">
        <f>IF(A118="","",SUMIFS(Transactions!$D:$D,Transactions!$B:$B,A118,Transactions!$C:$C,"Sell"))</f>
        <v/>
      </c>
      <c r="H118">
        <f>IF(A118="","",MAX(0,MIN(C118,G118-SUM(H$2:H117))))</f>
        <v/>
      </c>
      <c r="I118">
        <f>IF(C118="","",C118-H118)</f>
        <v/>
      </c>
      <c r="J118">
        <f>IF(I118="","",I118*D118)</f>
        <v/>
      </c>
    </row>
    <row r="119">
      <c r="A119">
        <f>IFERROR(INDEX(SORT(FILTER(Transactions!$B:$B,(Transactions!$C:$C="Buy")*(Transactions!$B:$B&lt;&gt;"")),1,1),118),"")</f>
        <v/>
      </c>
      <c r="B119">
        <f>IF(A119="","",INDEX(SORT(FILTER(Transactions!$A:$G,(Transactions!$C:$C="Buy")*(Transactions!$B:$B&lt;&gt;"")),2,1),118,1))</f>
        <v/>
      </c>
      <c r="C119">
        <f>IF(A119="","",INDEX(SORT(FILTER(Transactions!$A:$G,(Transactions!$C:$C="Buy")*(Transactions!$B:$B&lt;&gt;"")),2,1),118,4))</f>
        <v/>
      </c>
      <c r="D119">
        <f>IF(A119="","",INDEX(SORT(FILTER(Transactions!$A:$G,(Transactions!$C:$C="Buy")*(Transactions!$B:$B&lt;&gt;"")),2,1),118,5))</f>
        <v/>
      </c>
      <c r="E119">
        <f>IF(C119="","",C119*D119)</f>
        <v/>
      </c>
      <c r="F119">
        <f>IF(A119="","",SUMIFS(C$2:C119,A$2:A119,A119,B$2:B119,"&lt;="&amp;B119))</f>
        <v/>
      </c>
      <c r="G119">
        <f>IF(A119="","",SUMIFS(Transactions!$D:$D,Transactions!$B:$B,A119,Transactions!$C:$C,"Sell"))</f>
        <v/>
      </c>
      <c r="H119">
        <f>IF(A119="","",MAX(0,MIN(C119,G119-SUM(H$2:H118))))</f>
        <v/>
      </c>
      <c r="I119">
        <f>IF(C119="","",C119-H119)</f>
        <v/>
      </c>
      <c r="J119">
        <f>IF(I119="","",I119*D119)</f>
        <v/>
      </c>
    </row>
    <row r="120">
      <c r="A120">
        <f>IFERROR(INDEX(SORT(FILTER(Transactions!$B:$B,(Transactions!$C:$C="Buy")*(Transactions!$B:$B&lt;&gt;"")),1,1),119),"")</f>
        <v/>
      </c>
      <c r="B120">
        <f>IF(A120="","",INDEX(SORT(FILTER(Transactions!$A:$G,(Transactions!$C:$C="Buy")*(Transactions!$B:$B&lt;&gt;"")),2,1),119,1))</f>
        <v/>
      </c>
      <c r="C120">
        <f>IF(A120="","",INDEX(SORT(FILTER(Transactions!$A:$G,(Transactions!$C:$C="Buy")*(Transactions!$B:$B&lt;&gt;"")),2,1),119,4))</f>
        <v/>
      </c>
      <c r="D120">
        <f>IF(A120="","",INDEX(SORT(FILTER(Transactions!$A:$G,(Transactions!$C:$C="Buy")*(Transactions!$B:$B&lt;&gt;"")),2,1),119,5))</f>
        <v/>
      </c>
      <c r="E120">
        <f>IF(C120="","",C120*D120)</f>
        <v/>
      </c>
      <c r="F120">
        <f>IF(A120="","",SUMIFS(C$2:C120,A$2:A120,A120,B$2:B120,"&lt;="&amp;B120))</f>
        <v/>
      </c>
      <c r="G120">
        <f>IF(A120="","",SUMIFS(Transactions!$D:$D,Transactions!$B:$B,A120,Transactions!$C:$C,"Sell"))</f>
        <v/>
      </c>
      <c r="H120">
        <f>IF(A120="","",MAX(0,MIN(C120,G120-SUM(H$2:H119))))</f>
        <v/>
      </c>
      <c r="I120">
        <f>IF(C120="","",C120-H120)</f>
        <v/>
      </c>
      <c r="J120">
        <f>IF(I120="","",I120*D120)</f>
        <v/>
      </c>
    </row>
    <row r="121">
      <c r="A121">
        <f>IFERROR(INDEX(SORT(FILTER(Transactions!$B:$B,(Transactions!$C:$C="Buy")*(Transactions!$B:$B&lt;&gt;"")),1,1),120),"")</f>
        <v/>
      </c>
      <c r="B121">
        <f>IF(A121="","",INDEX(SORT(FILTER(Transactions!$A:$G,(Transactions!$C:$C="Buy")*(Transactions!$B:$B&lt;&gt;"")),2,1),120,1))</f>
        <v/>
      </c>
      <c r="C121">
        <f>IF(A121="","",INDEX(SORT(FILTER(Transactions!$A:$G,(Transactions!$C:$C="Buy")*(Transactions!$B:$B&lt;&gt;"")),2,1),120,4))</f>
        <v/>
      </c>
      <c r="D121">
        <f>IF(A121="","",INDEX(SORT(FILTER(Transactions!$A:$G,(Transactions!$C:$C="Buy")*(Transactions!$B:$B&lt;&gt;"")),2,1),120,5))</f>
        <v/>
      </c>
      <c r="E121">
        <f>IF(C121="","",C121*D121)</f>
        <v/>
      </c>
      <c r="F121">
        <f>IF(A121="","",SUMIFS(C$2:C121,A$2:A121,A121,B$2:B121,"&lt;="&amp;B121))</f>
        <v/>
      </c>
      <c r="G121">
        <f>IF(A121="","",SUMIFS(Transactions!$D:$D,Transactions!$B:$B,A121,Transactions!$C:$C,"Sell"))</f>
        <v/>
      </c>
      <c r="H121">
        <f>IF(A121="","",MAX(0,MIN(C121,G121-SUM(H$2:H120))))</f>
        <v/>
      </c>
      <c r="I121">
        <f>IF(C121="","",C121-H121)</f>
        <v/>
      </c>
      <c r="J121">
        <f>IF(I121="","",I121*D121)</f>
        <v/>
      </c>
    </row>
    <row r="122">
      <c r="A122">
        <f>IFERROR(INDEX(SORT(FILTER(Transactions!$B:$B,(Transactions!$C:$C="Buy")*(Transactions!$B:$B&lt;&gt;"")),1,1),121),"")</f>
        <v/>
      </c>
      <c r="B122">
        <f>IF(A122="","",INDEX(SORT(FILTER(Transactions!$A:$G,(Transactions!$C:$C="Buy")*(Transactions!$B:$B&lt;&gt;"")),2,1),121,1))</f>
        <v/>
      </c>
      <c r="C122">
        <f>IF(A122="","",INDEX(SORT(FILTER(Transactions!$A:$G,(Transactions!$C:$C="Buy")*(Transactions!$B:$B&lt;&gt;"")),2,1),121,4))</f>
        <v/>
      </c>
      <c r="D122">
        <f>IF(A122="","",INDEX(SORT(FILTER(Transactions!$A:$G,(Transactions!$C:$C="Buy")*(Transactions!$B:$B&lt;&gt;"")),2,1),121,5))</f>
        <v/>
      </c>
      <c r="E122">
        <f>IF(C122="","",C122*D122)</f>
        <v/>
      </c>
      <c r="F122">
        <f>IF(A122="","",SUMIFS(C$2:C122,A$2:A122,A122,B$2:B122,"&lt;="&amp;B122))</f>
        <v/>
      </c>
      <c r="G122">
        <f>IF(A122="","",SUMIFS(Transactions!$D:$D,Transactions!$B:$B,A122,Transactions!$C:$C,"Sell"))</f>
        <v/>
      </c>
      <c r="H122">
        <f>IF(A122="","",MAX(0,MIN(C122,G122-SUM(H$2:H121))))</f>
        <v/>
      </c>
      <c r="I122">
        <f>IF(C122="","",C122-H122)</f>
        <v/>
      </c>
      <c r="J122">
        <f>IF(I122="","",I122*D122)</f>
        <v/>
      </c>
    </row>
    <row r="123">
      <c r="A123">
        <f>IFERROR(INDEX(SORT(FILTER(Transactions!$B:$B,(Transactions!$C:$C="Buy")*(Transactions!$B:$B&lt;&gt;"")),1,1),122),"")</f>
        <v/>
      </c>
      <c r="B123">
        <f>IF(A123="","",INDEX(SORT(FILTER(Transactions!$A:$G,(Transactions!$C:$C="Buy")*(Transactions!$B:$B&lt;&gt;"")),2,1),122,1))</f>
        <v/>
      </c>
      <c r="C123">
        <f>IF(A123="","",INDEX(SORT(FILTER(Transactions!$A:$G,(Transactions!$C:$C="Buy")*(Transactions!$B:$B&lt;&gt;"")),2,1),122,4))</f>
        <v/>
      </c>
      <c r="D123">
        <f>IF(A123="","",INDEX(SORT(FILTER(Transactions!$A:$G,(Transactions!$C:$C="Buy")*(Transactions!$B:$B&lt;&gt;"")),2,1),122,5))</f>
        <v/>
      </c>
      <c r="E123">
        <f>IF(C123="","",C123*D123)</f>
        <v/>
      </c>
      <c r="F123">
        <f>IF(A123="","",SUMIFS(C$2:C123,A$2:A123,A123,B$2:B123,"&lt;="&amp;B123))</f>
        <v/>
      </c>
      <c r="G123">
        <f>IF(A123="","",SUMIFS(Transactions!$D:$D,Transactions!$B:$B,A123,Transactions!$C:$C,"Sell"))</f>
        <v/>
      </c>
      <c r="H123">
        <f>IF(A123="","",MAX(0,MIN(C123,G123-SUM(H$2:H122))))</f>
        <v/>
      </c>
      <c r="I123">
        <f>IF(C123="","",C123-H123)</f>
        <v/>
      </c>
      <c r="J123">
        <f>IF(I123="","",I123*D123)</f>
        <v/>
      </c>
    </row>
    <row r="124">
      <c r="A124">
        <f>IFERROR(INDEX(SORT(FILTER(Transactions!$B:$B,(Transactions!$C:$C="Buy")*(Transactions!$B:$B&lt;&gt;"")),1,1),123),"")</f>
        <v/>
      </c>
      <c r="B124">
        <f>IF(A124="","",INDEX(SORT(FILTER(Transactions!$A:$G,(Transactions!$C:$C="Buy")*(Transactions!$B:$B&lt;&gt;"")),2,1),123,1))</f>
        <v/>
      </c>
      <c r="C124">
        <f>IF(A124="","",INDEX(SORT(FILTER(Transactions!$A:$G,(Transactions!$C:$C="Buy")*(Transactions!$B:$B&lt;&gt;"")),2,1),123,4))</f>
        <v/>
      </c>
      <c r="D124">
        <f>IF(A124="","",INDEX(SORT(FILTER(Transactions!$A:$G,(Transactions!$C:$C="Buy")*(Transactions!$B:$B&lt;&gt;"")),2,1),123,5))</f>
        <v/>
      </c>
      <c r="E124">
        <f>IF(C124="","",C124*D124)</f>
        <v/>
      </c>
      <c r="F124">
        <f>IF(A124="","",SUMIFS(C$2:C124,A$2:A124,A124,B$2:B124,"&lt;="&amp;B124))</f>
        <v/>
      </c>
      <c r="G124">
        <f>IF(A124="","",SUMIFS(Transactions!$D:$D,Transactions!$B:$B,A124,Transactions!$C:$C,"Sell"))</f>
        <v/>
      </c>
      <c r="H124">
        <f>IF(A124="","",MAX(0,MIN(C124,G124-SUM(H$2:H123))))</f>
        <v/>
      </c>
      <c r="I124">
        <f>IF(C124="","",C124-H124)</f>
        <v/>
      </c>
      <c r="J124">
        <f>IF(I124="","",I124*D124)</f>
        <v/>
      </c>
    </row>
    <row r="125">
      <c r="A125">
        <f>IFERROR(INDEX(SORT(FILTER(Transactions!$B:$B,(Transactions!$C:$C="Buy")*(Transactions!$B:$B&lt;&gt;"")),1,1),124),"")</f>
        <v/>
      </c>
      <c r="B125">
        <f>IF(A125="","",INDEX(SORT(FILTER(Transactions!$A:$G,(Transactions!$C:$C="Buy")*(Transactions!$B:$B&lt;&gt;"")),2,1),124,1))</f>
        <v/>
      </c>
      <c r="C125">
        <f>IF(A125="","",INDEX(SORT(FILTER(Transactions!$A:$G,(Transactions!$C:$C="Buy")*(Transactions!$B:$B&lt;&gt;"")),2,1),124,4))</f>
        <v/>
      </c>
      <c r="D125">
        <f>IF(A125="","",INDEX(SORT(FILTER(Transactions!$A:$G,(Transactions!$C:$C="Buy")*(Transactions!$B:$B&lt;&gt;"")),2,1),124,5))</f>
        <v/>
      </c>
      <c r="E125">
        <f>IF(C125="","",C125*D125)</f>
        <v/>
      </c>
      <c r="F125">
        <f>IF(A125="","",SUMIFS(C$2:C125,A$2:A125,A125,B$2:B125,"&lt;="&amp;B125))</f>
        <v/>
      </c>
      <c r="G125">
        <f>IF(A125="","",SUMIFS(Transactions!$D:$D,Transactions!$B:$B,A125,Transactions!$C:$C,"Sell"))</f>
        <v/>
      </c>
      <c r="H125">
        <f>IF(A125="","",MAX(0,MIN(C125,G125-SUM(H$2:H124))))</f>
        <v/>
      </c>
      <c r="I125">
        <f>IF(C125="","",C125-H125)</f>
        <v/>
      </c>
      <c r="J125">
        <f>IF(I125="","",I125*D125)</f>
        <v/>
      </c>
    </row>
    <row r="126">
      <c r="A126">
        <f>IFERROR(INDEX(SORT(FILTER(Transactions!$B:$B,(Transactions!$C:$C="Buy")*(Transactions!$B:$B&lt;&gt;"")),1,1),125),"")</f>
        <v/>
      </c>
      <c r="B126">
        <f>IF(A126="","",INDEX(SORT(FILTER(Transactions!$A:$G,(Transactions!$C:$C="Buy")*(Transactions!$B:$B&lt;&gt;"")),2,1),125,1))</f>
        <v/>
      </c>
      <c r="C126">
        <f>IF(A126="","",INDEX(SORT(FILTER(Transactions!$A:$G,(Transactions!$C:$C="Buy")*(Transactions!$B:$B&lt;&gt;"")),2,1),125,4))</f>
        <v/>
      </c>
      <c r="D126">
        <f>IF(A126="","",INDEX(SORT(FILTER(Transactions!$A:$G,(Transactions!$C:$C="Buy")*(Transactions!$B:$B&lt;&gt;"")),2,1),125,5))</f>
        <v/>
      </c>
      <c r="E126">
        <f>IF(C126="","",C126*D126)</f>
        <v/>
      </c>
      <c r="F126">
        <f>IF(A126="","",SUMIFS(C$2:C126,A$2:A126,A126,B$2:B126,"&lt;="&amp;B126))</f>
        <v/>
      </c>
      <c r="G126">
        <f>IF(A126="","",SUMIFS(Transactions!$D:$D,Transactions!$B:$B,A126,Transactions!$C:$C,"Sell"))</f>
        <v/>
      </c>
      <c r="H126">
        <f>IF(A126="","",MAX(0,MIN(C126,G126-SUM(H$2:H125))))</f>
        <v/>
      </c>
      <c r="I126">
        <f>IF(C126="","",C126-H126)</f>
        <v/>
      </c>
      <c r="J126">
        <f>IF(I126="","",I126*D126)</f>
        <v/>
      </c>
    </row>
    <row r="127">
      <c r="A127">
        <f>IFERROR(INDEX(SORT(FILTER(Transactions!$B:$B,(Transactions!$C:$C="Buy")*(Transactions!$B:$B&lt;&gt;"")),1,1),126),"")</f>
        <v/>
      </c>
      <c r="B127">
        <f>IF(A127="","",INDEX(SORT(FILTER(Transactions!$A:$G,(Transactions!$C:$C="Buy")*(Transactions!$B:$B&lt;&gt;"")),2,1),126,1))</f>
        <v/>
      </c>
      <c r="C127">
        <f>IF(A127="","",INDEX(SORT(FILTER(Transactions!$A:$G,(Transactions!$C:$C="Buy")*(Transactions!$B:$B&lt;&gt;"")),2,1),126,4))</f>
        <v/>
      </c>
      <c r="D127">
        <f>IF(A127="","",INDEX(SORT(FILTER(Transactions!$A:$G,(Transactions!$C:$C="Buy")*(Transactions!$B:$B&lt;&gt;"")),2,1),126,5))</f>
        <v/>
      </c>
      <c r="E127">
        <f>IF(C127="","",C127*D127)</f>
        <v/>
      </c>
      <c r="F127">
        <f>IF(A127="","",SUMIFS(C$2:C127,A$2:A127,A127,B$2:B127,"&lt;="&amp;B127))</f>
        <v/>
      </c>
      <c r="G127">
        <f>IF(A127="","",SUMIFS(Transactions!$D:$D,Transactions!$B:$B,A127,Transactions!$C:$C,"Sell"))</f>
        <v/>
      </c>
      <c r="H127">
        <f>IF(A127="","",MAX(0,MIN(C127,G127-SUM(H$2:H126))))</f>
        <v/>
      </c>
      <c r="I127">
        <f>IF(C127="","",C127-H127)</f>
        <v/>
      </c>
      <c r="J127">
        <f>IF(I127="","",I127*D127)</f>
        <v/>
      </c>
    </row>
    <row r="128">
      <c r="A128">
        <f>IFERROR(INDEX(SORT(FILTER(Transactions!$B:$B,(Transactions!$C:$C="Buy")*(Transactions!$B:$B&lt;&gt;"")),1,1),127),"")</f>
        <v/>
      </c>
      <c r="B128">
        <f>IF(A128="","",INDEX(SORT(FILTER(Transactions!$A:$G,(Transactions!$C:$C="Buy")*(Transactions!$B:$B&lt;&gt;"")),2,1),127,1))</f>
        <v/>
      </c>
      <c r="C128">
        <f>IF(A128="","",INDEX(SORT(FILTER(Transactions!$A:$G,(Transactions!$C:$C="Buy")*(Transactions!$B:$B&lt;&gt;"")),2,1),127,4))</f>
        <v/>
      </c>
      <c r="D128">
        <f>IF(A128="","",INDEX(SORT(FILTER(Transactions!$A:$G,(Transactions!$C:$C="Buy")*(Transactions!$B:$B&lt;&gt;"")),2,1),127,5))</f>
        <v/>
      </c>
      <c r="E128">
        <f>IF(C128="","",C128*D128)</f>
        <v/>
      </c>
      <c r="F128">
        <f>IF(A128="","",SUMIFS(C$2:C128,A$2:A128,A128,B$2:B128,"&lt;="&amp;B128))</f>
        <v/>
      </c>
      <c r="G128">
        <f>IF(A128="","",SUMIFS(Transactions!$D:$D,Transactions!$B:$B,A128,Transactions!$C:$C,"Sell"))</f>
        <v/>
      </c>
      <c r="H128">
        <f>IF(A128="","",MAX(0,MIN(C128,G128-SUM(H$2:H127))))</f>
        <v/>
      </c>
      <c r="I128">
        <f>IF(C128="","",C128-H128)</f>
        <v/>
      </c>
      <c r="J128">
        <f>IF(I128="","",I128*D128)</f>
        <v/>
      </c>
    </row>
    <row r="129">
      <c r="A129">
        <f>IFERROR(INDEX(SORT(FILTER(Transactions!$B:$B,(Transactions!$C:$C="Buy")*(Transactions!$B:$B&lt;&gt;"")),1,1),128),"")</f>
        <v/>
      </c>
      <c r="B129">
        <f>IF(A129="","",INDEX(SORT(FILTER(Transactions!$A:$G,(Transactions!$C:$C="Buy")*(Transactions!$B:$B&lt;&gt;"")),2,1),128,1))</f>
        <v/>
      </c>
      <c r="C129">
        <f>IF(A129="","",INDEX(SORT(FILTER(Transactions!$A:$G,(Transactions!$C:$C="Buy")*(Transactions!$B:$B&lt;&gt;"")),2,1),128,4))</f>
        <v/>
      </c>
      <c r="D129">
        <f>IF(A129="","",INDEX(SORT(FILTER(Transactions!$A:$G,(Transactions!$C:$C="Buy")*(Transactions!$B:$B&lt;&gt;"")),2,1),128,5))</f>
        <v/>
      </c>
      <c r="E129">
        <f>IF(C129="","",C129*D129)</f>
        <v/>
      </c>
      <c r="F129">
        <f>IF(A129="","",SUMIFS(C$2:C129,A$2:A129,A129,B$2:B129,"&lt;="&amp;B129))</f>
        <v/>
      </c>
      <c r="G129">
        <f>IF(A129="","",SUMIFS(Transactions!$D:$D,Transactions!$B:$B,A129,Transactions!$C:$C,"Sell"))</f>
        <v/>
      </c>
      <c r="H129">
        <f>IF(A129="","",MAX(0,MIN(C129,G129-SUM(H$2:H128))))</f>
        <v/>
      </c>
      <c r="I129">
        <f>IF(C129="","",C129-H129)</f>
        <v/>
      </c>
      <c r="J129">
        <f>IF(I129="","",I129*D129)</f>
        <v/>
      </c>
    </row>
    <row r="130">
      <c r="A130">
        <f>IFERROR(INDEX(SORT(FILTER(Transactions!$B:$B,(Transactions!$C:$C="Buy")*(Transactions!$B:$B&lt;&gt;"")),1,1),129),"")</f>
        <v/>
      </c>
      <c r="B130">
        <f>IF(A130="","",INDEX(SORT(FILTER(Transactions!$A:$G,(Transactions!$C:$C="Buy")*(Transactions!$B:$B&lt;&gt;"")),2,1),129,1))</f>
        <v/>
      </c>
      <c r="C130">
        <f>IF(A130="","",INDEX(SORT(FILTER(Transactions!$A:$G,(Transactions!$C:$C="Buy")*(Transactions!$B:$B&lt;&gt;"")),2,1),129,4))</f>
        <v/>
      </c>
      <c r="D130">
        <f>IF(A130="","",INDEX(SORT(FILTER(Transactions!$A:$G,(Transactions!$C:$C="Buy")*(Transactions!$B:$B&lt;&gt;"")),2,1),129,5))</f>
        <v/>
      </c>
      <c r="E130">
        <f>IF(C130="","",C130*D130)</f>
        <v/>
      </c>
      <c r="F130">
        <f>IF(A130="","",SUMIFS(C$2:C130,A$2:A130,A130,B$2:B130,"&lt;="&amp;B130))</f>
        <v/>
      </c>
      <c r="G130">
        <f>IF(A130="","",SUMIFS(Transactions!$D:$D,Transactions!$B:$B,A130,Transactions!$C:$C,"Sell"))</f>
        <v/>
      </c>
      <c r="H130">
        <f>IF(A130="","",MAX(0,MIN(C130,G130-SUM(H$2:H129))))</f>
        <v/>
      </c>
      <c r="I130">
        <f>IF(C130="","",C130-H130)</f>
        <v/>
      </c>
      <c r="J130">
        <f>IF(I130="","",I130*D130)</f>
        <v/>
      </c>
    </row>
    <row r="131">
      <c r="A131">
        <f>IFERROR(INDEX(SORT(FILTER(Transactions!$B:$B,(Transactions!$C:$C="Buy")*(Transactions!$B:$B&lt;&gt;"")),1,1),130),"")</f>
        <v/>
      </c>
      <c r="B131">
        <f>IF(A131="","",INDEX(SORT(FILTER(Transactions!$A:$G,(Transactions!$C:$C="Buy")*(Transactions!$B:$B&lt;&gt;"")),2,1),130,1))</f>
        <v/>
      </c>
      <c r="C131">
        <f>IF(A131="","",INDEX(SORT(FILTER(Transactions!$A:$G,(Transactions!$C:$C="Buy")*(Transactions!$B:$B&lt;&gt;"")),2,1),130,4))</f>
        <v/>
      </c>
      <c r="D131">
        <f>IF(A131="","",INDEX(SORT(FILTER(Transactions!$A:$G,(Transactions!$C:$C="Buy")*(Transactions!$B:$B&lt;&gt;"")),2,1),130,5))</f>
        <v/>
      </c>
      <c r="E131">
        <f>IF(C131="","",C131*D131)</f>
        <v/>
      </c>
      <c r="F131">
        <f>IF(A131="","",SUMIFS(C$2:C131,A$2:A131,A131,B$2:B131,"&lt;="&amp;B131))</f>
        <v/>
      </c>
      <c r="G131">
        <f>IF(A131="","",SUMIFS(Transactions!$D:$D,Transactions!$B:$B,A131,Transactions!$C:$C,"Sell"))</f>
        <v/>
      </c>
      <c r="H131">
        <f>IF(A131="","",MAX(0,MIN(C131,G131-SUM(H$2:H130))))</f>
        <v/>
      </c>
      <c r="I131">
        <f>IF(C131="","",C131-H131)</f>
        <v/>
      </c>
      <c r="J131">
        <f>IF(I131="","",I131*D131)</f>
        <v/>
      </c>
    </row>
    <row r="132">
      <c r="A132">
        <f>IFERROR(INDEX(SORT(FILTER(Transactions!$B:$B,(Transactions!$C:$C="Buy")*(Transactions!$B:$B&lt;&gt;"")),1,1),131),"")</f>
        <v/>
      </c>
      <c r="B132">
        <f>IF(A132="","",INDEX(SORT(FILTER(Transactions!$A:$G,(Transactions!$C:$C="Buy")*(Transactions!$B:$B&lt;&gt;"")),2,1),131,1))</f>
        <v/>
      </c>
      <c r="C132">
        <f>IF(A132="","",INDEX(SORT(FILTER(Transactions!$A:$G,(Transactions!$C:$C="Buy")*(Transactions!$B:$B&lt;&gt;"")),2,1),131,4))</f>
        <v/>
      </c>
      <c r="D132">
        <f>IF(A132="","",INDEX(SORT(FILTER(Transactions!$A:$G,(Transactions!$C:$C="Buy")*(Transactions!$B:$B&lt;&gt;"")),2,1),131,5))</f>
        <v/>
      </c>
      <c r="E132">
        <f>IF(C132="","",C132*D132)</f>
        <v/>
      </c>
      <c r="F132">
        <f>IF(A132="","",SUMIFS(C$2:C132,A$2:A132,A132,B$2:B132,"&lt;="&amp;B132))</f>
        <v/>
      </c>
      <c r="G132">
        <f>IF(A132="","",SUMIFS(Transactions!$D:$D,Transactions!$B:$B,A132,Transactions!$C:$C,"Sell"))</f>
        <v/>
      </c>
      <c r="H132">
        <f>IF(A132="","",MAX(0,MIN(C132,G132-SUM(H$2:H131))))</f>
        <v/>
      </c>
      <c r="I132">
        <f>IF(C132="","",C132-H132)</f>
        <v/>
      </c>
      <c r="J132">
        <f>IF(I132="","",I132*D132)</f>
        <v/>
      </c>
    </row>
    <row r="133">
      <c r="A133">
        <f>IFERROR(INDEX(SORT(FILTER(Transactions!$B:$B,(Transactions!$C:$C="Buy")*(Transactions!$B:$B&lt;&gt;"")),1,1),132),"")</f>
        <v/>
      </c>
      <c r="B133">
        <f>IF(A133="","",INDEX(SORT(FILTER(Transactions!$A:$G,(Transactions!$C:$C="Buy")*(Transactions!$B:$B&lt;&gt;"")),2,1),132,1))</f>
        <v/>
      </c>
      <c r="C133">
        <f>IF(A133="","",INDEX(SORT(FILTER(Transactions!$A:$G,(Transactions!$C:$C="Buy")*(Transactions!$B:$B&lt;&gt;"")),2,1),132,4))</f>
        <v/>
      </c>
      <c r="D133">
        <f>IF(A133="","",INDEX(SORT(FILTER(Transactions!$A:$G,(Transactions!$C:$C="Buy")*(Transactions!$B:$B&lt;&gt;"")),2,1),132,5))</f>
        <v/>
      </c>
      <c r="E133">
        <f>IF(C133="","",C133*D133)</f>
        <v/>
      </c>
      <c r="F133">
        <f>IF(A133="","",SUMIFS(C$2:C133,A$2:A133,A133,B$2:B133,"&lt;="&amp;B133))</f>
        <v/>
      </c>
      <c r="G133">
        <f>IF(A133="","",SUMIFS(Transactions!$D:$D,Transactions!$B:$B,A133,Transactions!$C:$C,"Sell"))</f>
        <v/>
      </c>
      <c r="H133">
        <f>IF(A133="","",MAX(0,MIN(C133,G133-SUM(H$2:H132))))</f>
        <v/>
      </c>
      <c r="I133">
        <f>IF(C133="","",C133-H133)</f>
        <v/>
      </c>
      <c r="J133">
        <f>IF(I133="","",I133*D133)</f>
        <v/>
      </c>
    </row>
    <row r="134">
      <c r="A134">
        <f>IFERROR(INDEX(SORT(FILTER(Transactions!$B:$B,(Transactions!$C:$C="Buy")*(Transactions!$B:$B&lt;&gt;"")),1,1),133),"")</f>
        <v/>
      </c>
      <c r="B134">
        <f>IF(A134="","",INDEX(SORT(FILTER(Transactions!$A:$G,(Transactions!$C:$C="Buy")*(Transactions!$B:$B&lt;&gt;"")),2,1),133,1))</f>
        <v/>
      </c>
      <c r="C134">
        <f>IF(A134="","",INDEX(SORT(FILTER(Transactions!$A:$G,(Transactions!$C:$C="Buy")*(Transactions!$B:$B&lt;&gt;"")),2,1),133,4))</f>
        <v/>
      </c>
      <c r="D134">
        <f>IF(A134="","",INDEX(SORT(FILTER(Transactions!$A:$G,(Transactions!$C:$C="Buy")*(Transactions!$B:$B&lt;&gt;"")),2,1),133,5))</f>
        <v/>
      </c>
      <c r="E134">
        <f>IF(C134="","",C134*D134)</f>
        <v/>
      </c>
      <c r="F134">
        <f>IF(A134="","",SUMIFS(C$2:C134,A$2:A134,A134,B$2:B134,"&lt;="&amp;B134))</f>
        <v/>
      </c>
      <c r="G134">
        <f>IF(A134="","",SUMIFS(Transactions!$D:$D,Transactions!$B:$B,A134,Transactions!$C:$C,"Sell"))</f>
        <v/>
      </c>
      <c r="H134">
        <f>IF(A134="","",MAX(0,MIN(C134,G134-SUM(H$2:H133))))</f>
        <v/>
      </c>
      <c r="I134">
        <f>IF(C134="","",C134-H134)</f>
        <v/>
      </c>
      <c r="J134">
        <f>IF(I134="","",I134*D134)</f>
        <v/>
      </c>
    </row>
    <row r="135">
      <c r="A135">
        <f>IFERROR(INDEX(SORT(FILTER(Transactions!$B:$B,(Transactions!$C:$C="Buy")*(Transactions!$B:$B&lt;&gt;"")),1,1),134),"")</f>
        <v/>
      </c>
      <c r="B135">
        <f>IF(A135="","",INDEX(SORT(FILTER(Transactions!$A:$G,(Transactions!$C:$C="Buy")*(Transactions!$B:$B&lt;&gt;"")),2,1),134,1))</f>
        <v/>
      </c>
      <c r="C135">
        <f>IF(A135="","",INDEX(SORT(FILTER(Transactions!$A:$G,(Transactions!$C:$C="Buy")*(Transactions!$B:$B&lt;&gt;"")),2,1),134,4))</f>
        <v/>
      </c>
      <c r="D135">
        <f>IF(A135="","",INDEX(SORT(FILTER(Transactions!$A:$G,(Transactions!$C:$C="Buy")*(Transactions!$B:$B&lt;&gt;"")),2,1),134,5))</f>
        <v/>
      </c>
      <c r="E135">
        <f>IF(C135="","",C135*D135)</f>
        <v/>
      </c>
      <c r="F135">
        <f>IF(A135="","",SUMIFS(C$2:C135,A$2:A135,A135,B$2:B135,"&lt;="&amp;B135))</f>
        <v/>
      </c>
      <c r="G135">
        <f>IF(A135="","",SUMIFS(Transactions!$D:$D,Transactions!$B:$B,A135,Transactions!$C:$C,"Sell"))</f>
        <v/>
      </c>
      <c r="H135">
        <f>IF(A135="","",MAX(0,MIN(C135,G135-SUM(H$2:H134))))</f>
        <v/>
      </c>
      <c r="I135">
        <f>IF(C135="","",C135-H135)</f>
        <v/>
      </c>
      <c r="J135">
        <f>IF(I135="","",I135*D135)</f>
        <v/>
      </c>
    </row>
    <row r="136">
      <c r="A136">
        <f>IFERROR(INDEX(SORT(FILTER(Transactions!$B:$B,(Transactions!$C:$C="Buy")*(Transactions!$B:$B&lt;&gt;"")),1,1),135),"")</f>
        <v/>
      </c>
      <c r="B136">
        <f>IF(A136="","",INDEX(SORT(FILTER(Transactions!$A:$G,(Transactions!$C:$C="Buy")*(Transactions!$B:$B&lt;&gt;"")),2,1),135,1))</f>
        <v/>
      </c>
      <c r="C136">
        <f>IF(A136="","",INDEX(SORT(FILTER(Transactions!$A:$G,(Transactions!$C:$C="Buy")*(Transactions!$B:$B&lt;&gt;"")),2,1),135,4))</f>
        <v/>
      </c>
      <c r="D136">
        <f>IF(A136="","",INDEX(SORT(FILTER(Transactions!$A:$G,(Transactions!$C:$C="Buy")*(Transactions!$B:$B&lt;&gt;"")),2,1),135,5))</f>
        <v/>
      </c>
      <c r="E136">
        <f>IF(C136="","",C136*D136)</f>
        <v/>
      </c>
      <c r="F136">
        <f>IF(A136="","",SUMIFS(C$2:C136,A$2:A136,A136,B$2:B136,"&lt;="&amp;B136))</f>
        <v/>
      </c>
      <c r="G136">
        <f>IF(A136="","",SUMIFS(Transactions!$D:$D,Transactions!$B:$B,A136,Transactions!$C:$C,"Sell"))</f>
        <v/>
      </c>
      <c r="H136">
        <f>IF(A136="","",MAX(0,MIN(C136,G136-SUM(H$2:H135))))</f>
        <v/>
      </c>
      <c r="I136">
        <f>IF(C136="","",C136-H136)</f>
        <v/>
      </c>
      <c r="J136">
        <f>IF(I136="","",I136*D136)</f>
        <v/>
      </c>
    </row>
    <row r="137">
      <c r="A137">
        <f>IFERROR(INDEX(SORT(FILTER(Transactions!$B:$B,(Transactions!$C:$C="Buy")*(Transactions!$B:$B&lt;&gt;"")),1,1),136),"")</f>
        <v/>
      </c>
      <c r="B137">
        <f>IF(A137="","",INDEX(SORT(FILTER(Transactions!$A:$G,(Transactions!$C:$C="Buy")*(Transactions!$B:$B&lt;&gt;"")),2,1),136,1))</f>
        <v/>
      </c>
      <c r="C137">
        <f>IF(A137="","",INDEX(SORT(FILTER(Transactions!$A:$G,(Transactions!$C:$C="Buy")*(Transactions!$B:$B&lt;&gt;"")),2,1),136,4))</f>
        <v/>
      </c>
      <c r="D137">
        <f>IF(A137="","",INDEX(SORT(FILTER(Transactions!$A:$G,(Transactions!$C:$C="Buy")*(Transactions!$B:$B&lt;&gt;"")),2,1),136,5))</f>
        <v/>
      </c>
      <c r="E137">
        <f>IF(C137="","",C137*D137)</f>
        <v/>
      </c>
      <c r="F137">
        <f>IF(A137="","",SUMIFS(C$2:C137,A$2:A137,A137,B$2:B137,"&lt;="&amp;B137))</f>
        <v/>
      </c>
      <c r="G137">
        <f>IF(A137="","",SUMIFS(Transactions!$D:$D,Transactions!$B:$B,A137,Transactions!$C:$C,"Sell"))</f>
        <v/>
      </c>
      <c r="H137">
        <f>IF(A137="","",MAX(0,MIN(C137,G137-SUM(H$2:H136))))</f>
        <v/>
      </c>
      <c r="I137">
        <f>IF(C137="","",C137-H137)</f>
        <v/>
      </c>
      <c r="J137">
        <f>IF(I137="","",I137*D137)</f>
        <v/>
      </c>
    </row>
    <row r="138">
      <c r="A138">
        <f>IFERROR(INDEX(SORT(FILTER(Transactions!$B:$B,(Transactions!$C:$C="Buy")*(Transactions!$B:$B&lt;&gt;"")),1,1),137),"")</f>
        <v/>
      </c>
      <c r="B138">
        <f>IF(A138="","",INDEX(SORT(FILTER(Transactions!$A:$G,(Transactions!$C:$C="Buy")*(Transactions!$B:$B&lt;&gt;"")),2,1),137,1))</f>
        <v/>
      </c>
      <c r="C138">
        <f>IF(A138="","",INDEX(SORT(FILTER(Transactions!$A:$G,(Transactions!$C:$C="Buy")*(Transactions!$B:$B&lt;&gt;"")),2,1),137,4))</f>
        <v/>
      </c>
      <c r="D138">
        <f>IF(A138="","",INDEX(SORT(FILTER(Transactions!$A:$G,(Transactions!$C:$C="Buy")*(Transactions!$B:$B&lt;&gt;"")),2,1),137,5))</f>
        <v/>
      </c>
      <c r="E138">
        <f>IF(C138="","",C138*D138)</f>
        <v/>
      </c>
      <c r="F138">
        <f>IF(A138="","",SUMIFS(C$2:C138,A$2:A138,A138,B$2:B138,"&lt;="&amp;B138))</f>
        <v/>
      </c>
      <c r="G138">
        <f>IF(A138="","",SUMIFS(Transactions!$D:$D,Transactions!$B:$B,A138,Transactions!$C:$C,"Sell"))</f>
        <v/>
      </c>
      <c r="H138">
        <f>IF(A138="","",MAX(0,MIN(C138,G138-SUM(H$2:H137))))</f>
        <v/>
      </c>
      <c r="I138">
        <f>IF(C138="","",C138-H138)</f>
        <v/>
      </c>
      <c r="J138">
        <f>IF(I138="","",I138*D138)</f>
        <v/>
      </c>
    </row>
    <row r="139">
      <c r="A139">
        <f>IFERROR(INDEX(SORT(FILTER(Transactions!$B:$B,(Transactions!$C:$C="Buy")*(Transactions!$B:$B&lt;&gt;"")),1,1),138),"")</f>
        <v/>
      </c>
      <c r="B139">
        <f>IF(A139="","",INDEX(SORT(FILTER(Transactions!$A:$G,(Transactions!$C:$C="Buy")*(Transactions!$B:$B&lt;&gt;"")),2,1),138,1))</f>
        <v/>
      </c>
      <c r="C139">
        <f>IF(A139="","",INDEX(SORT(FILTER(Transactions!$A:$G,(Transactions!$C:$C="Buy")*(Transactions!$B:$B&lt;&gt;"")),2,1),138,4))</f>
        <v/>
      </c>
      <c r="D139">
        <f>IF(A139="","",INDEX(SORT(FILTER(Transactions!$A:$G,(Transactions!$C:$C="Buy")*(Transactions!$B:$B&lt;&gt;"")),2,1),138,5))</f>
        <v/>
      </c>
      <c r="E139">
        <f>IF(C139="","",C139*D139)</f>
        <v/>
      </c>
      <c r="F139">
        <f>IF(A139="","",SUMIFS(C$2:C139,A$2:A139,A139,B$2:B139,"&lt;="&amp;B139))</f>
        <v/>
      </c>
      <c r="G139">
        <f>IF(A139="","",SUMIFS(Transactions!$D:$D,Transactions!$B:$B,A139,Transactions!$C:$C,"Sell"))</f>
        <v/>
      </c>
      <c r="H139">
        <f>IF(A139="","",MAX(0,MIN(C139,G139-SUM(H$2:H138))))</f>
        <v/>
      </c>
      <c r="I139">
        <f>IF(C139="","",C139-H139)</f>
        <v/>
      </c>
      <c r="J139">
        <f>IF(I139="","",I139*D139)</f>
        <v/>
      </c>
    </row>
    <row r="140">
      <c r="A140">
        <f>IFERROR(INDEX(SORT(FILTER(Transactions!$B:$B,(Transactions!$C:$C="Buy")*(Transactions!$B:$B&lt;&gt;"")),1,1),139),"")</f>
        <v/>
      </c>
      <c r="B140">
        <f>IF(A140="","",INDEX(SORT(FILTER(Transactions!$A:$G,(Transactions!$C:$C="Buy")*(Transactions!$B:$B&lt;&gt;"")),2,1),139,1))</f>
        <v/>
      </c>
      <c r="C140">
        <f>IF(A140="","",INDEX(SORT(FILTER(Transactions!$A:$G,(Transactions!$C:$C="Buy")*(Transactions!$B:$B&lt;&gt;"")),2,1),139,4))</f>
        <v/>
      </c>
      <c r="D140">
        <f>IF(A140="","",INDEX(SORT(FILTER(Transactions!$A:$G,(Transactions!$C:$C="Buy")*(Transactions!$B:$B&lt;&gt;"")),2,1),139,5))</f>
        <v/>
      </c>
      <c r="E140">
        <f>IF(C140="","",C140*D140)</f>
        <v/>
      </c>
      <c r="F140">
        <f>IF(A140="","",SUMIFS(C$2:C140,A$2:A140,A140,B$2:B140,"&lt;="&amp;B140))</f>
        <v/>
      </c>
      <c r="G140">
        <f>IF(A140="","",SUMIFS(Transactions!$D:$D,Transactions!$B:$B,A140,Transactions!$C:$C,"Sell"))</f>
        <v/>
      </c>
      <c r="H140">
        <f>IF(A140="","",MAX(0,MIN(C140,G140-SUM(H$2:H139))))</f>
        <v/>
      </c>
      <c r="I140">
        <f>IF(C140="","",C140-H140)</f>
        <v/>
      </c>
      <c r="J140">
        <f>IF(I140="","",I140*D140)</f>
        <v/>
      </c>
    </row>
    <row r="141">
      <c r="A141">
        <f>IFERROR(INDEX(SORT(FILTER(Transactions!$B:$B,(Transactions!$C:$C="Buy")*(Transactions!$B:$B&lt;&gt;"")),1,1),140),"")</f>
        <v/>
      </c>
      <c r="B141">
        <f>IF(A141="","",INDEX(SORT(FILTER(Transactions!$A:$G,(Transactions!$C:$C="Buy")*(Transactions!$B:$B&lt;&gt;"")),2,1),140,1))</f>
        <v/>
      </c>
      <c r="C141">
        <f>IF(A141="","",INDEX(SORT(FILTER(Transactions!$A:$G,(Transactions!$C:$C="Buy")*(Transactions!$B:$B&lt;&gt;"")),2,1),140,4))</f>
        <v/>
      </c>
      <c r="D141">
        <f>IF(A141="","",INDEX(SORT(FILTER(Transactions!$A:$G,(Transactions!$C:$C="Buy")*(Transactions!$B:$B&lt;&gt;"")),2,1),140,5))</f>
        <v/>
      </c>
      <c r="E141">
        <f>IF(C141="","",C141*D141)</f>
        <v/>
      </c>
      <c r="F141">
        <f>IF(A141="","",SUMIFS(C$2:C141,A$2:A141,A141,B$2:B141,"&lt;="&amp;B141))</f>
        <v/>
      </c>
      <c r="G141">
        <f>IF(A141="","",SUMIFS(Transactions!$D:$D,Transactions!$B:$B,A141,Transactions!$C:$C,"Sell"))</f>
        <v/>
      </c>
      <c r="H141">
        <f>IF(A141="","",MAX(0,MIN(C141,G141-SUM(H$2:H140))))</f>
        <v/>
      </c>
      <c r="I141">
        <f>IF(C141="","",C141-H141)</f>
        <v/>
      </c>
      <c r="J141">
        <f>IF(I141="","",I141*D141)</f>
        <v/>
      </c>
    </row>
    <row r="142">
      <c r="A142">
        <f>IFERROR(INDEX(SORT(FILTER(Transactions!$B:$B,(Transactions!$C:$C="Buy")*(Transactions!$B:$B&lt;&gt;"")),1,1),141),"")</f>
        <v/>
      </c>
      <c r="B142">
        <f>IF(A142="","",INDEX(SORT(FILTER(Transactions!$A:$G,(Transactions!$C:$C="Buy")*(Transactions!$B:$B&lt;&gt;"")),2,1),141,1))</f>
        <v/>
      </c>
      <c r="C142">
        <f>IF(A142="","",INDEX(SORT(FILTER(Transactions!$A:$G,(Transactions!$C:$C="Buy")*(Transactions!$B:$B&lt;&gt;"")),2,1),141,4))</f>
        <v/>
      </c>
      <c r="D142">
        <f>IF(A142="","",INDEX(SORT(FILTER(Transactions!$A:$G,(Transactions!$C:$C="Buy")*(Transactions!$B:$B&lt;&gt;"")),2,1),141,5))</f>
        <v/>
      </c>
      <c r="E142">
        <f>IF(C142="","",C142*D142)</f>
        <v/>
      </c>
      <c r="F142">
        <f>IF(A142="","",SUMIFS(C$2:C142,A$2:A142,A142,B$2:B142,"&lt;="&amp;B142))</f>
        <v/>
      </c>
      <c r="G142">
        <f>IF(A142="","",SUMIFS(Transactions!$D:$D,Transactions!$B:$B,A142,Transactions!$C:$C,"Sell"))</f>
        <v/>
      </c>
      <c r="H142">
        <f>IF(A142="","",MAX(0,MIN(C142,G142-SUM(H$2:H141))))</f>
        <v/>
      </c>
      <c r="I142">
        <f>IF(C142="","",C142-H142)</f>
        <v/>
      </c>
      <c r="J142">
        <f>IF(I142="","",I142*D142)</f>
        <v/>
      </c>
    </row>
    <row r="143">
      <c r="A143">
        <f>IFERROR(INDEX(SORT(FILTER(Transactions!$B:$B,(Transactions!$C:$C="Buy")*(Transactions!$B:$B&lt;&gt;"")),1,1),142),"")</f>
        <v/>
      </c>
      <c r="B143">
        <f>IF(A143="","",INDEX(SORT(FILTER(Transactions!$A:$G,(Transactions!$C:$C="Buy")*(Transactions!$B:$B&lt;&gt;"")),2,1),142,1))</f>
        <v/>
      </c>
      <c r="C143">
        <f>IF(A143="","",INDEX(SORT(FILTER(Transactions!$A:$G,(Transactions!$C:$C="Buy")*(Transactions!$B:$B&lt;&gt;"")),2,1),142,4))</f>
        <v/>
      </c>
      <c r="D143">
        <f>IF(A143="","",INDEX(SORT(FILTER(Transactions!$A:$G,(Transactions!$C:$C="Buy")*(Transactions!$B:$B&lt;&gt;"")),2,1),142,5))</f>
        <v/>
      </c>
      <c r="E143">
        <f>IF(C143="","",C143*D143)</f>
        <v/>
      </c>
      <c r="F143">
        <f>IF(A143="","",SUMIFS(C$2:C143,A$2:A143,A143,B$2:B143,"&lt;="&amp;B143))</f>
        <v/>
      </c>
      <c r="G143">
        <f>IF(A143="","",SUMIFS(Transactions!$D:$D,Transactions!$B:$B,A143,Transactions!$C:$C,"Sell"))</f>
        <v/>
      </c>
      <c r="H143">
        <f>IF(A143="","",MAX(0,MIN(C143,G143-SUM(H$2:H142))))</f>
        <v/>
      </c>
      <c r="I143">
        <f>IF(C143="","",C143-H143)</f>
        <v/>
      </c>
      <c r="J143">
        <f>IF(I143="","",I143*D143)</f>
        <v/>
      </c>
    </row>
    <row r="144">
      <c r="A144">
        <f>IFERROR(INDEX(SORT(FILTER(Transactions!$B:$B,(Transactions!$C:$C="Buy")*(Transactions!$B:$B&lt;&gt;"")),1,1),143),"")</f>
        <v/>
      </c>
      <c r="B144">
        <f>IF(A144="","",INDEX(SORT(FILTER(Transactions!$A:$G,(Transactions!$C:$C="Buy")*(Transactions!$B:$B&lt;&gt;"")),2,1),143,1))</f>
        <v/>
      </c>
      <c r="C144">
        <f>IF(A144="","",INDEX(SORT(FILTER(Transactions!$A:$G,(Transactions!$C:$C="Buy")*(Transactions!$B:$B&lt;&gt;"")),2,1),143,4))</f>
        <v/>
      </c>
      <c r="D144">
        <f>IF(A144="","",INDEX(SORT(FILTER(Transactions!$A:$G,(Transactions!$C:$C="Buy")*(Transactions!$B:$B&lt;&gt;"")),2,1),143,5))</f>
        <v/>
      </c>
      <c r="E144">
        <f>IF(C144="","",C144*D144)</f>
        <v/>
      </c>
      <c r="F144">
        <f>IF(A144="","",SUMIFS(C$2:C144,A$2:A144,A144,B$2:B144,"&lt;="&amp;B144))</f>
        <v/>
      </c>
      <c r="G144">
        <f>IF(A144="","",SUMIFS(Transactions!$D:$D,Transactions!$B:$B,A144,Transactions!$C:$C,"Sell"))</f>
        <v/>
      </c>
      <c r="H144">
        <f>IF(A144="","",MAX(0,MIN(C144,G144-SUM(H$2:H143))))</f>
        <v/>
      </c>
      <c r="I144">
        <f>IF(C144="","",C144-H144)</f>
        <v/>
      </c>
      <c r="J144">
        <f>IF(I144="","",I144*D144)</f>
        <v/>
      </c>
    </row>
    <row r="145">
      <c r="A145">
        <f>IFERROR(INDEX(SORT(FILTER(Transactions!$B:$B,(Transactions!$C:$C="Buy")*(Transactions!$B:$B&lt;&gt;"")),1,1),144),"")</f>
        <v/>
      </c>
      <c r="B145">
        <f>IF(A145="","",INDEX(SORT(FILTER(Transactions!$A:$G,(Transactions!$C:$C="Buy")*(Transactions!$B:$B&lt;&gt;"")),2,1),144,1))</f>
        <v/>
      </c>
      <c r="C145">
        <f>IF(A145="","",INDEX(SORT(FILTER(Transactions!$A:$G,(Transactions!$C:$C="Buy")*(Transactions!$B:$B&lt;&gt;"")),2,1),144,4))</f>
        <v/>
      </c>
      <c r="D145">
        <f>IF(A145="","",INDEX(SORT(FILTER(Transactions!$A:$G,(Transactions!$C:$C="Buy")*(Transactions!$B:$B&lt;&gt;"")),2,1),144,5))</f>
        <v/>
      </c>
      <c r="E145">
        <f>IF(C145="","",C145*D145)</f>
        <v/>
      </c>
      <c r="F145">
        <f>IF(A145="","",SUMIFS(C$2:C145,A$2:A145,A145,B$2:B145,"&lt;="&amp;B145))</f>
        <v/>
      </c>
      <c r="G145">
        <f>IF(A145="","",SUMIFS(Transactions!$D:$D,Transactions!$B:$B,A145,Transactions!$C:$C,"Sell"))</f>
        <v/>
      </c>
      <c r="H145">
        <f>IF(A145="","",MAX(0,MIN(C145,G145-SUM(H$2:H144))))</f>
        <v/>
      </c>
      <c r="I145">
        <f>IF(C145="","",C145-H145)</f>
        <v/>
      </c>
      <c r="J145">
        <f>IF(I145="","",I145*D145)</f>
        <v/>
      </c>
    </row>
    <row r="146">
      <c r="A146">
        <f>IFERROR(INDEX(SORT(FILTER(Transactions!$B:$B,(Transactions!$C:$C="Buy")*(Transactions!$B:$B&lt;&gt;"")),1,1),145),"")</f>
        <v/>
      </c>
      <c r="B146">
        <f>IF(A146="","",INDEX(SORT(FILTER(Transactions!$A:$G,(Transactions!$C:$C="Buy")*(Transactions!$B:$B&lt;&gt;"")),2,1),145,1))</f>
        <v/>
      </c>
      <c r="C146">
        <f>IF(A146="","",INDEX(SORT(FILTER(Transactions!$A:$G,(Transactions!$C:$C="Buy")*(Transactions!$B:$B&lt;&gt;"")),2,1),145,4))</f>
        <v/>
      </c>
      <c r="D146">
        <f>IF(A146="","",INDEX(SORT(FILTER(Transactions!$A:$G,(Transactions!$C:$C="Buy")*(Transactions!$B:$B&lt;&gt;"")),2,1),145,5))</f>
        <v/>
      </c>
      <c r="E146">
        <f>IF(C146="","",C146*D146)</f>
        <v/>
      </c>
      <c r="F146">
        <f>IF(A146="","",SUMIFS(C$2:C146,A$2:A146,A146,B$2:B146,"&lt;="&amp;B146))</f>
        <v/>
      </c>
      <c r="G146">
        <f>IF(A146="","",SUMIFS(Transactions!$D:$D,Transactions!$B:$B,A146,Transactions!$C:$C,"Sell"))</f>
        <v/>
      </c>
      <c r="H146">
        <f>IF(A146="","",MAX(0,MIN(C146,G146-SUM(H$2:H145))))</f>
        <v/>
      </c>
      <c r="I146">
        <f>IF(C146="","",C146-H146)</f>
        <v/>
      </c>
      <c r="J146">
        <f>IF(I146="","",I146*D146)</f>
        <v/>
      </c>
    </row>
    <row r="147">
      <c r="A147">
        <f>IFERROR(INDEX(SORT(FILTER(Transactions!$B:$B,(Transactions!$C:$C="Buy")*(Transactions!$B:$B&lt;&gt;"")),1,1),146),"")</f>
        <v/>
      </c>
      <c r="B147">
        <f>IF(A147="","",INDEX(SORT(FILTER(Transactions!$A:$G,(Transactions!$C:$C="Buy")*(Transactions!$B:$B&lt;&gt;"")),2,1),146,1))</f>
        <v/>
      </c>
      <c r="C147">
        <f>IF(A147="","",INDEX(SORT(FILTER(Transactions!$A:$G,(Transactions!$C:$C="Buy")*(Transactions!$B:$B&lt;&gt;"")),2,1),146,4))</f>
        <v/>
      </c>
      <c r="D147">
        <f>IF(A147="","",INDEX(SORT(FILTER(Transactions!$A:$G,(Transactions!$C:$C="Buy")*(Transactions!$B:$B&lt;&gt;"")),2,1),146,5))</f>
        <v/>
      </c>
      <c r="E147">
        <f>IF(C147="","",C147*D147)</f>
        <v/>
      </c>
      <c r="F147">
        <f>IF(A147="","",SUMIFS(C$2:C147,A$2:A147,A147,B$2:B147,"&lt;="&amp;B147))</f>
        <v/>
      </c>
      <c r="G147">
        <f>IF(A147="","",SUMIFS(Transactions!$D:$D,Transactions!$B:$B,A147,Transactions!$C:$C,"Sell"))</f>
        <v/>
      </c>
      <c r="H147">
        <f>IF(A147="","",MAX(0,MIN(C147,G147-SUM(H$2:H146))))</f>
        <v/>
      </c>
      <c r="I147">
        <f>IF(C147="","",C147-H147)</f>
        <v/>
      </c>
      <c r="J147">
        <f>IF(I147="","",I147*D147)</f>
        <v/>
      </c>
    </row>
    <row r="148">
      <c r="A148">
        <f>IFERROR(INDEX(SORT(FILTER(Transactions!$B:$B,(Transactions!$C:$C="Buy")*(Transactions!$B:$B&lt;&gt;"")),1,1),147),"")</f>
        <v/>
      </c>
      <c r="B148">
        <f>IF(A148="","",INDEX(SORT(FILTER(Transactions!$A:$G,(Transactions!$C:$C="Buy")*(Transactions!$B:$B&lt;&gt;"")),2,1),147,1))</f>
        <v/>
      </c>
      <c r="C148">
        <f>IF(A148="","",INDEX(SORT(FILTER(Transactions!$A:$G,(Transactions!$C:$C="Buy")*(Transactions!$B:$B&lt;&gt;"")),2,1),147,4))</f>
        <v/>
      </c>
      <c r="D148">
        <f>IF(A148="","",INDEX(SORT(FILTER(Transactions!$A:$G,(Transactions!$C:$C="Buy")*(Transactions!$B:$B&lt;&gt;"")),2,1),147,5))</f>
        <v/>
      </c>
      <c r="E148">
        <f>IF(C148="","",C148*D148)</f>
        <v/>
      </c>
      <c r="F148">
        <f>IF(A148="","",SUMIFS(C$2:C148,A$2:A148,A148,B$2:B148,"&lt;="&amp;B148))</f>
        <v/>
      </c>
      <c r="G148">
        <f>IF(A148="","",SUMIFS(Transactions!$D:$D,Transactions!$B:$B,A148,Transactions!$C:$C,"Sell"))</f>
        <v/>
      </c>
      <c r="H148">
        <f>IF(A148="","",MAX(0,MIN(C148,G148-SUM(H$2:H147))))</f>
        <v/>
      </c>
      <c r="I148">
        <f>IF(C148="","",C148-H148)</f>
        <v/>
      </c>
      <c r="J148">
        <f>IF(I148="","",I148*D148)</f>
        <v/>
      </c>
    </row>
    <row r="149">
      <c r="A149">
        <f>IFERROR(INDEX(SORT(FILTER(Transactions!$B:$B,(Transactions!$C:$C="Buy")*(Transactions!$B:$B&lt;&gt;"")),1,1),148),"")</f>
        <v/>
      </c>
      <c r="B149">
        <f>IF(A149="","",INDEX(SORT(FILTER(Transactions!$A:$G,(Transactions!$C:$C="Buy")*(Transactions!$B:$B&lt;&gt;"")),2,1),148,1))</f>
        <v/>
      </c>
      <c r="C149">
        <f>IF(A149="","",INDEX(SORT(FILTER(Transactions!$A:$G,(Transactions!$C:$C="Buy")*(Transactions!$B:$B&lt;&gt;"")),2,1),148,4))</f>
        <v/>
      </c>
      <c r="D149">
        <f>IF(A149="","",INDEX(SORT(FILTER(Transactions!$A:$G,(Transactions!$C:$C="Buy")*(Transactions!$B:$B&lt;&gt;"")),2,1),148,5))</f>
        <v/>
      </c>
      <c r="E149">
        <f>IF(C149="","",C149*D149)</f>
        <v/>
      </c>
      <c r="F149">
        <f>IF(A149="","",SUMIFS(C$2:C149,A$2:A149,A149,B$2:B149,"&lt;="&amp;B149))</f>
        <v/>
      </c>
      <c r="G149">
        <f>IF(A149="","",SUMIFS(Transactions!$D:$D,Transactions!$B:$B,A149,Transactions!$C:$C,"Sell"))</f>
        <v/>
      </c>
      <c r="H149">
        <f>IF(A149="","",MAX(0,MIN(C149,G149-SUM(H$2:H148))))</f>
        <v/>
      </c>
      <c r="I149">
        <f>IF(C149="","",C149-H149)</f>
        <v/>
      </c>
      <c r="J149">
        <f>IF(I149="","",I149*D149)</f>
        <v/>
      </c>
    </row>
    <row r="150">
      <c r="A150">
        <f>IFERROR(INDEX(SORT(FILTER(Transactions!$B:$B,(Transactions!$C:$C="Buy")*(Transactions!$B:$B&lt;&gt;"")),1,1),149),"")</f>
        <v/>
      </c>
      <c r="B150">
        <f>IF(A150="","",INDEX(SORT(FILTER(Transactions!$A:$G,(Transactions!$C:$C="Buy")*(Transactions!$B:$B&lt;&gt;"")),2,1),149,1))</f>
        <v/>
      </c>
      <c r="C150">
        <f>IF(A150="","",INDEX(SORT(FILTER(Transactions!$A:$G,(Transactions!$C:$C="Buy")*(Transactions!$B:$B&lt;&gt;"")),2,1),149,4))</f>
        <v/>
      </c>
      <c r="D150">
        <f>IF(A150="","",INDEX(SORT(FILTER(Transactions!$A:$G,(Transactions!$C:$C="Buy")*(Transactions!$B:$B&lt;&gt;"")),2,1),149,5))</f>
        <v/>
      </c>
      <c r="E150">
        <f>IF(C150="","",C150*D150)</f>
        <v/>
      </c>
      <c r="F150">
        <f>IF(A150="","",SUMIFS(C$2:C150,A$2:A150,A150,B$2:B150,"&lt;="&amp;B150))</f>
        <v/>
      </c>
      <c r="G150">
        <f>IF(A150="","",SUMIFS(Transactions!$D:$D,Transactions!$B:$B,A150,Transactions!$C:$C,"Sell"))</f>
        <v/>
      </c>
      <c r="H150">
        <f>IF(A150="","",MAX(0,MIN(C150,G150-SUM(H$2:H149))))</f>
        <v/>
      </c>
      <c r="I150">
        <f>IF(C150="","",C150-H150)</f>
        <v/>
      </c>
      <c r="J150">
        <f>IF(I150="","",I150*D150)</f>
        <v/>
      </c>
    </row>
    <row r="151">
      <c r="A151">
        <f>IFERROR(INDEX(SORT(FILTER(Transactions!$B:$B,(Transactions!$C:$C="Buy")*(Transactions!$B:$B&lt;&gt;"")),1,1),150),"")</f>
        <v/>
      </c>
      <c r="B151">
        <f>IF(A151="","",INDEX(SORT(FILTER(Transactions!$A:$G,(Transactions!$C:$C="Buy")*(Transactions!$B:$B&lt;&gt;"")),2,1),150,1))</f>
        <v/>
      </c>
      <c r="C151">
        <f>IF(A151="","",INDEX(SORT(FILTER(Transactions!$A:$G,(Transactions!$C:$C="Buy")*(Transactions!$B:$B&lt;&gt;"")),2,1),150,4))</f>
        <v/>
      </c>
      <c r="D151">
        <f>IF(A151="","",INDEX(SORT(FILTER(Transactions!$A:$G,(Transactions!$C:$C="Buy")*(Transactions!$B:$B&lt;&gt;"")),2,1),150,5))</f>
        <v/>
      </c>
      <c r="E151">
        <f>IF(C151="","",C151*D151)</f>
        <v/>
      </c>
      <c r="F151">
        <f>IF(A151="","",SUMIFS(C$2:C151,A$2:A151,A151,B$2:B151,"&lt;="&amp;B151))</f>
        <v/>
      </c>
      <c r="G151">
        <f>IF(A151="","",SUMIFS(Transactions!$D:$D,Transactions!$B:$B,A151,Transactions!$C:$C,"Sell"))</f>
        <v/>
      </c>
      <c r="H151">
        <f>IF(A151="","",MAX(0,MIN(C151,G151-SUM(H$2:H150))))</f>
        <v/>
      </c>
      <c r="I151">
        <f>IF(C151="","",C151-H151)</f>
        <v/>
      </c>
      <c r="J151">
        <f>IF(I151="","",I151*D151)</f>
        <v/>
      </c>
    </row>
    <row r="152">
      <c r="A152">
        <f>IFERROR(INDEX(SORT(FILTER(Transactions!$B:$B,(Transactions!$C:$C="Buy")*(Transactions!$B:$B&lt;&gt;"")),1,1),151),"")</f>
        <v/>
      </c>
      <c r="B152">
        <f>IF(A152="","",INDEX(SORT(FILTER(Transactions!$A:$G,(Transactions!$C:$C="Buy")*(Transactions!$B:$B&lt;&gt;"")),2,1),151,1))</f>
        <v/>
      </c>
      <c r="C152">
        <f>IF(A152="","",INDEX(SORT(FILTER(Transactions!$A:$G,(Transactions!$C:$C="Buy")*(Transactions!$B:$B&lt;&gt;"")),2,1),151,4))</f>
        <v/>
      </c>
      <c r="D152">
        <f>IF(A152="","",INDEX(SORT(FILTER(Transactions!$A:$G,(Transactions!$C:$C="Buy")*(Transactions!$B:$B&lt;&gt;"")),2,1),151,5))</f>
        <v/>
      </c>
      <c r="E152">
        <f>IF(C152="","",C152*D152)</f>
        <v/>
      </c>
      <c r="F152">
        <f>IF(A152="","",SUMIFS(C$2:C152,A$2:A152,A152,B$2:B152,"&lt;="&amp;B152))</f>
        <v/>
      </c>
      <c r="G152">
        <f>IF(A152="","",SUMIFS(Transactions!$D:$D,Transactions!$B:$B,A152,Transactions!$C:$C,"Sell"))</f>
        <v/>
      </c>
      <c r="H152">
        <f>IF(A152="","",MAX(0,MIN(C152,G152-SUM(H$2:H151))))</f>
        <v/>
      </c>
      <c r="I152">
        <f>IF(C152="","",C152-H152)</f>
        <v/>
      </c>
      <c r="J152">
        <f>IF(I152="","",I152*D152)</f>
        <v/>
      </c>
    </row>
    <row r="153">
      <c r="A153">
        <f>IFERROR(INDEX(SORT(FILTER(Transactions!$B:$B,(Transactions!$C:$C="Buy")*(Transactions!$B:$B&lt;&gt;"")),1,1),152),"")</f>
        <v/>
      </c>
      <c r="B153">
        <f>IF(A153="","",INDEX(SORT(FILTER(Transactions!$A:$G,(Transactions!$C:$C="Buy")*(Transactions!$B:$B&lt;&gt;"")),2,1),152,1))</f>
        <v/>
      </c>
      <c r="C153">
        <f>IF(A153="","",INDEX(SORT(FILTER(Transactions!$A:$G,(Transactions!$C:$C="Buy")*(Transactions!$B:$B&lt;&gt;"")),2,1),152,4))</f>
        <v/>
      </c>
      <c r="D153">
        <f>IF(A153="","",INDEX(SORT(FILTER(Transactions!$A:$G,(Transactions!$C:$C="Buy")*(Transactions!$B:$B&lt;&gt;"")),2,1),152,5))</f>
        <v/>
      </c>
      <c r="E153">
        <f>IF(C153="","",C153*D153)</f>
        <v/>
      </c>
      <c r="F153">
        <f>IF(A153="","",SUMIFS(C$2:C153,A$2:A153,A153,B$2:B153,"&lt;="&amp;B153))</f>
        <v/>
      </c>
      <c r="G153">
        <f>IF(A153="","",SUMIFS(Transactions!$D:$D,Transactions!$B:$B,A153,Transactions!$C:$C,"Sell"))</f>
        <v/>
      </c>
      <c r="H153">
        <f>IF(A153="","",MAX(0,MIN(C153,G153-SUM(H$2:H152))))</f>
        <v/>
      </c>
      <c r="I153">
        <f>IF(C153="","",C153-H153)</f>
        <v/>
      </c>
      <c r="J153">
        <f>IF(I153="","",I153*D153)</f>
        <v/>
      </c>
    </row>
    <row r="154">
      <c r="A154">
        <f>IFERROR(INDEX(SORT(FILTER(Transactions!$B:$B,(Transactions!$C:$C="Buy")*(Transactions!$B:$B&lt;&gt;"")),1,1),153),"")</f>
        <v/>
      </c>
      <c r="B154">
        <f>IF(A154="","",INDEX(SORT(FILTER(Transactions!$A:$G,(Transactions!$C:$C="Buy")*(Transactions!$B:$B&lt;&gt;"")),2,1),153,1))</f>
        <v/>
      </c>
      <c r="C154">
        <f>IF(A154="","",INDEX(SORT(FILTER(Transactions!$A:$G,(Transactions!$C:$C="Buy")*(Transactions!$B:$B&lt;&gt;"")),2,1),153,4))</f>
        <v/>
      </c>
      <c r="D154">
        <f>IF(A154="","",INDEX(SORT(FILTER(Transactions!$A:$G,(Transactions!$C:$C="Buy")*(Transactions!$B:$B&lt;&gt;"")),2,1),153,5))</f>
        <v/>
      </c>
      <c r="E154">
        <f>IF(C154="","",C154*D154)</f>
        <v/>
      </c>
      <c r="F154">
        <f>IF(A154="","",SUMIFS(C$2:C154,A$2:A154,A154,B$2:B154,"&lt;="&amp;B154))</f>
        <v/>
      </c>
      <c r="G154">
        <f>IF(A154="","",SUMIFS(Transactions!$D:$D,Transactions!$B:$B,A154,Transactions!$C:$C,"Sell"))</f>
        <v/>
      </c>
      <c r="H154">
        <f>IF(A154="","",MAX(0,MIN(C154,G154-SUM(H$2:H153))))</f>
        <v/>
      </c>
      <c r="I154">
        <f>IF(C154="","",C154-H154)</f>
        <v/>
      </c>
      <c r="J154">
        <f>IF(I154="","",I154*D154)</f>
        <v/>
      </c>
    </row>
    <row r="155">
      <c r="A155">
        <f>IFERROR(INDEX(SORT(FILTER(Transactions!$B:$B,(Transactions!$C:$C="Buy")*(Transactions!$B:$B&lt;&gt;"")),1,1),154),"")</f>
        <v/>
      </c>
      <c r="B155">
        <f>IF(A155="","",INDEX(SORT(FILTER(Transactions!$A:$G,(Transactions!$C:$C="Buy")*(Transactions!$B:$B&lt;&gt;"")),2,1),154,1))</f>
        <v/>
      </c>
      <c r="C155">
        <f>IF(A155="","",INDEX(SORT(FILTER(Transactions!$A:$G,(Transactions!$C:$C="Buy")*(Transactions!$B:$B&lt;&gt;"")),2,1),154,4))</f>
        <v/>
      </c>
      <c r="D155">
        <f>IF(A155="","",INDEX(SORT(FILTER(Transactions!$A:$G,(Transactions!$C:$C="Buy")*(Transactions!$B:$B&lt;&gt;"")),2,1),154,5))</f>
        <v/>
      </c>
      <c r="E155">
        <f>IF(C155="","",C155*D155)</f>
        <v/>
      </c>
      <c r="F155">
        <f>IF(A155="","",SUMIFS(C$2:C155,A$2:A155,A155,B$2:B155,"&lt;="&amp;B155))</f>
        <v/>
      </c>
      <c r="G155">
        <f>IF(A155="","",SUMIFS(Transactions!$D:$D,Transactions!$B:$B,A155,Transactions!$C:$C,"Sell"))</f>
        <v/>
      </c>
      <c r="H155">
        <f>IF(A155="","",MAX(0,MIN(C155,G155-SUM(H$2:H154))))</f>
        <v/>
      </c>
      <c r="I155">
        <f>IF(C155="","",C155-H155)</f>
        <v/>
      </c>
      <c r="J155">
        <f>IF(I155="","",I155*D155)</f>
        <v/>
      </c>
    </row>
    <row r="156">
      <c r="A156">
        <f>IFERROR(INDEX(SORT(FILTER(Transactions!$B:$B,(Transactions!$C:$C="Buy")*(Transactions!$B:$B&lt;&gt;"")),1,1),155),"")</f>
        <v/>
      </c>
      <c r="B156">
        <f>IF(A156="","",INDEX(SORT(FILTER(Transactions!$A:$G,(Transactions!$C:$C="Buy")*(Transactions!$B:$B&lt;&gt;"")),2,1),155,1))</f>
        <v/>
      </c>
      <c r="C156">
        <f>IF(A156="","",INDEX(SORT(FILTER(Transactions!$A:$G,(Transactions!$C:$C="Buy")*(Transactions!$B:$B&lt;&gt;"")),2,1),155,4))</f>
        <v/>
      </c>
      <c r="D156">
        <f>IF(A156="","",INDEX(SORT(FILTER(Transactions!$A:$G,(Transactions!$C:$C="Buy")*(Transactions!$B:$B&lt;&gt;"")),2,1),155,5))</f>
        <v/>
      </c>
      <c r="E156">
        <f>IF(C156="","",C156*D156)</f>
        <v/>
      </c>
      <c r="F156">
        <f>IF(A156="","",SUMIFS(C$2:C156,A$2:A156,A156,B$2:B156,"&lt;="&amp;B156))</f>
        <v/>
      </c>
      <c r="G156">
        <f>IF(A156="","",SUMIFS(Transactions!$D:$D,Transactions!$B:$B,A156,Transactions!$C:$C,"Sell"))</f>
        <v/>
      </c>
      <c r="H156">
        <f>IF(A156="","",MAX(0,MIN(C156,G156-SUM(H$2:H155))))</f>
        <v/>
      </c>
      <c r="I156">
        <f>IF(C156="","",C156-H156)</f>
        <v/>
      </c>
      <c r="J156">
        <f>IF(I156="","",I156*D156)</f>
        <v/>
      </c>
    </row>
    <row r="157">
      <c r="A157">
        <f>IFERROR(INDEX(SORT(FILTER(Transactions!$B:$B,(Transactions!$C:$C="Buy")*(Transactions!$B:$B&lt;&gt;"")),1,1),156),"")</f>
        <v/>
      </c>
      <c r="B157">
        <f>IF(A157="","",INDEX(SORT(FILTER(Transactions!$A:$G,(Transactions!$C:$C="Buy")*(Transactions!$B:$B&lt;&gt;"")),2,1),156,1))</f>
        <v/>
      </c>
      <c r="C157">
        <f>IF(A157="","",INDEX(SORT(FILTER(Transactions!$A:$G,(Transactions!$C:$C="Buy")*(Transactions!$B:$B&lt;&gt;"")),2,1),156,4))</f>
        <v/>
      </c>
      <c r="D157">
        <f>IF(A157="","",INDEX(SORT(FILTER(Transactions!$A:$G,(Transactions!$C:$C="Buy")*(Transactions!$B:$B&lt;&gt;"")),2,1),156,5))</f>
        <v/>
      </c>
      <c r="E157">
        <f>IF(C157="","",C157*D157)</f>
        <v/>
      </c>
      <c r="F157">
        <f>IF(A157="","",SUMIFS(C$2:C157,A$2:A157,A157,B$2:B157,"&lt;="&amp;B157))</f>
        <v/>
      </c>
      <c r="G157">
        <f>IF(A157="","",SUMIFS(Transactions!$D:$D,Transactions!$B:$B,A157,Transactions!$C:$C,"Sell"))</f>
        <v/>
      </c>
      <c r="H157">
        <f>IF(A157="","",MAX(0,MIN(C157,G157-SUM(H$2:H156))))</f>
        <v/>
      </c>
      <c r="I157">
        <f>IF(C157="","",C157-H157)</f>
        <v/>
      </c>
      <c r="J157">
        <f>IF(I157="","",I157*D157)</f>
        <v/>
      </c>
    </row>
    <row r="158">
      <c r="A158">
        <f>IFERROR(INDEX(SORT(FILTER(Transactions!$B:$B,(Transactions!$C:$C="Buy")*(Transactions!$B:$B&lt;&gt;"")),1,1),157),"")</f>
        <v/>
      </c>
      <c r="B158">
        <f>IF(A158="","",INDEX(SORT(FILTER(Transactions!$A:$G,(Transactions!$C:$C="Buy")*(Transactions!$B:$B&lt;&gt;"")),2,1),157,1))</f>
        <v/>
      </c>
      <c r="C158">
        <f>IF(A158="","",INDEX(SORT(FILTER(Transactions!$A:$G,(Transactions!$C:$C="Buy")*(Transactions!$B:$B&lt;&gt;"")),2,1),157,4))</f>
        <v/>
      </c>
      <c r="D158">
        <f>IF(A158="","",INDEX(SORT(FILTER(Transactions!$A:$G,(Transactions!$C:$C="Buy")*(Transactions!$B:$B&lt;&gt;"")),2,1),157,5))</f>
        <v/>
      </c>
      <c r="E158">
        <f>IF(C158="","",C158*D158)</f>
        <v/>
      </c>
      <c r="F158">
        <f>IF(A158="","",SUMIFS(C$2:C158,A$2:A158,A158,B$2:B158,"&lt;="&amp;B158))</f>
        <v/>
      </c>
      <c r="G158">
        <f>IF(A158="","",SUMIFS(Transactions!$D:$D,Transactions!$B:$B,A158,Transactions!$C:$C,"Sell"))</f>
        <v/>
      </c>
      <c r="H158">
        <f>IF(A158="","",MAX(0,MIN(C158,G158-SUM(H$2:H157))))</f>
        <v/>
      </c>
      <c r="I158">
        <f>IF(C158="","",C158-H158)</f>
        <v/>
      </c>
      <c r="J158">
        <f>IF(I158="","",I158*D158)</f>
        <v/>
      </c>
    </row>
    <row r="159">
      <c r="A159">
        <f>IFERROR(INDEX(SORT(FILTER(Transactions!$B:$B,(Transactions!$C:$C="Buy")*(Transactions!$B:$B&lt;&gt;"")),1,1),158),"")</f>
        <v/>
      </c>
      <c r="B159">
        <f>IF(A159="","",INDEX(SORT(FILTER(Transactions!$A:$G,(Transactions!$C:$C="Buy")*(Transactions!$B:$B&lt;&gt;"")),2,1),158,1))</f>
        <v/>
      </c>
      <c r="C159">
        <f>IF(A159="","",INDEX(SORT(FILTER(Transactions!$A:$G,(Transactions!$C:$C="Buy")*(Transactions!$B:$B&lt;&gt;"")),2,1),158,4))</f>
        <v/>
      </c>
      <c r="D159">
        <f>IF(A159="","",INDEX(SORT(FILTER(Transactions!$A:$G,(Transactions!$C:$C="Buy")*(Transactions!$B:$B&lt;&gt;"")),2,1),158,5))</f>
        <v/>
      </c>
      <c r="E159">
        <f>IF(C159="","",C159*D159)</f>
        <v/>
      </c>
      <c r="F159">
        <f>IF(A159="","",SUMIFS(C$2:C159,A$2:A159,A159,B$2:B159,"&lt;="&amp;B159))</f>
        <v/>
      </c>
      <c r="G159">
        <f>IF(A159="","",SUMIFS(Transactions!$D:$D,Transactions!$B:$B,A159,Transactions!$C:$C,"Sell"))</f>
        <v/>
      </c>
      <c r="H159">
        <f>IF(A159="","",MAX(0,MIN(C159,G159-SUM(H$2:H158))))</f>
        <v/>
      </c>
      <c r="I159">
        <f>IF(C159="","",C159-H159)</f>
        <v/>
      </c>
      <c r="J159">
        <f>IF(I159="","",I159*D159)</f>
        <v/>
      </c>
    </row>
    <row r="160">
      <c r="A160">
        <f>IFERROR(INDEX(SORT(FILTER(Transactions!$B:$B,(Transactions!$C:$C="Buy")*(Transactions!$B:$B&lt;&gt;"")),1,1),159),"")</f>
        <v/>
      </c>
      <c r="B160">
        <f>IF(A160="","",INDEX(SORT(FILTER(Transactions!$A:$G,(Transactions!$C:$C="Buy")*(Transactions!$B:$B&lt;&gt;"")),2,1),159,1))</f>
        <v/>
      </c>
      <c r="C160">
        <f>IF(A160="","",INDEX(SORT(FILTER(Transactions!$A:$G,(Transactions!$C:$C="Buy")*(Transactions!$B:$B&lt;&gt;"")),2,1),159,4))</f>
        <v/>
      </c>
      <c r="D160">
        <f>IF(A160="","",INDEX(SORT(FILTER(Transactions!$A:$G,(Transactions!$C:$C="Buy")*(Transactions!$B:$B&lt;&gt;"")),2,1),159,5))</f>
        <v/>
      </c>
      <c r="E160">
        <f>IF(C160="","",C160*D160)</f>
        <v/>
      </c>
      <c r="F160">
        <f>IF(A160="","",SUMIFS(C$2:C160,A$2:A160,A160,B$2:B160,"&lt;="&amp;B160))</f>
        <v/>
      </c>
      <c r="G160">
        <f>IF(A160="","",SUMIFS(Transactions!$D:$D,Transactions!$B:$B,A160,Transactions!$C:$C,"Sell"))</f>
        <v/>
      </c>
      <c r="H160">
        <f>IF(A160="","",MAX(0,MIN(C160,G160-SUM(H$2:H159))))</f>
        <v/>
      </c>
      <c r="I160">
        <f>IF(C160="","",C160-H160)</f>
        <v/>
      </c>
      <c r="J160">
        <f>IF(I160="","",I160*D160)</f>
        <v/>
      </c>
    </row>
    <row r="161">
      <c r="A161">
        <f>IFERROR(INDEX(SORT(FILTER(Transactions!$B:$B,(Transactions!$C:$C="Buy")*(Transactions!$B:$B&lt;&gt;"")),1,1),160),"")</f>
        <v/>
      </c>
      <c r="B161">
        <f>IF(A161="","",INDEX(SORT(FILTER(Transactions!$A:$G,(Transactions!$C:$C="Buy")*(Transactions!$B:$B&lt;&gt;"")),2,1),160,1))</f>
        <v/>
      </c>
      <c r="C161">
        <f>IF(A161="","",INDEX(SORT(FILTER(Transactions!$A:$G,(Transactions!$C:$C="Buy")*(Transactions!$B:$B&lt;&gt;"")),2,1),160,4))</f>
        <v/>
      </c>
      <c r="D161">
        <f>IF(A161="","",INDEX(SORT(FILTER(Transactions!$A:$G,(Transactions!$C:$C="Buy")*(Transactions!$B:$B&lt;&gt;"")),2,1),160,5))</f>
        <v/>
      </c>
      <c r="E161">
        <f>IF(C161="","",C161*D161)</f>
        <v/>
      </c>
      <c r="F161">
        <f>IF(A161="","",SUMIFS(C$2:C161,A$2:A161,A161,B$2:B161,"&lt;="&amp;B161))</f>
        <v/>
      </c>
      <c r="G161">
        <f>IF(A161="","",SUMIFS(Transactions!$D:$D,Transactions!$B:$B,A161,Transactions!$C:$C,"Sell"))</f>
        <v/>
      </c>
      <c r="H161">
        <f>IF(A161="","",MAX(0,MIN(C161,G161-SUM(H$2:H160))))</f>
        <v/>
      </c>
      <c r="I161">
        <f>IF(C161="","",C161-H161)</f>
        <v/>
      </c>
      <c r="J161">
        <f>IF(I161="","",I161*D161)</f>
        <v/>
      </c>
    </row>
    <row r="162">
      <c r="A162">
        <f>IFERROR(INDEX(SORT(FILTER(Transactions!$B:$B,(Transactions!$C:$C="Buy")*(Transactions!$B:$B&lt;&gt;"")),1,1),161),"")</f>
        <v/>
      </c>
      <c r="B162">
        <f>IF(A162="","",INDEX(SORT(FILTER(Transactions!$A:$G,(Transactions!$C:$C="Buy")*(Transactions!$B:$B&lt;&gt;"")),2,1),161,1))</f>
        <v/>
      </c>
      <c r="C162">
        <f>IF(A162="","",INDEX(SORT(FILTER(Transactions!$A:$G,(Transactions!$C:$C="Buy")*(Transactions!$B:$B&lt;&gt;"")),2,1),161,4))</f>
        <v/>
      </c>
      <c r="D162">
        <f>IF(A162="","",INDEX(SORT(FILTER(Transactions!$A:$G,(Transactions!$C:$C="Buy")*(Transactions!$B:$B&lt;&gt;"")),2,1),161,5))</f>
        <v/>
      </c>
      <c r="E162">
        <f>IF(C162="","",C162*D162)</f>
        <v/>
      </c>
      <c r="F162">
        <f>IF(A162="","",SUMIFS(C$2:C162,A$2:A162,A162,B$2:B162,"&lt;="&amp;B162))</f>
        <v/>
      </c>
      <c r="G162">
        <f>IF(A162="","",SUMIFS(Transactions!$D:$D,Transactions!$B:$B,A162,Transactions!$C:$C,"Sell"))</f>
        <v/>
      </c>
      <c r="H162">
        <f>IF(A162="","",MAX(0,MIN(C162,G162-SUM(H$2:H161))))</f>
        <v/>
      </c>
      <c r="I162">
        <f>IF(C162="","",C162-H162)</f>
        <v/>
      </c>
      <c r="J162">
        <f>IF(I162="","",I162*D162)</f>
        <v/>
      </c>
    </row>
    <row r="163">
      <c r="A163">
        <f>IFERROR(INDEX(SORT(FILTER(Transactions!$B:$B,(Transactions!$C:$C="Buy")*(Transactions!$B:$B&lt;&gt;"")),1,1),162),"")</f>
        <v/>
      </c>
      <c r="B163">
        <f>IF(A163="","",INDEX(SORT(FILTER(Transactions!$A:$G,(Transactions!$C:$C="Buy")*(Transactions!$B:$B&lt;&gt;"")),2,1),162,1))</f>
        <v/>
      </c>
      <c r="C163">
        <f>IF(A163="","",INDEX(SORT(FILTER(Transactions!$A:$G,(Transactions!$C:$C="Buy")*(Transactions!$B:$B&lt;&gt;"")),2,1),162,4))</f>
        <v/>
      </c>
      <c r="D163">
        <f>IF(A163="","",INDEX(SORT(FILTER(Transactions!$A:$G,(Transactions!$C:$C="Buy")*(Transactions!$B:$B&lt;&gt;"")),2,1),162,5))</f>
        <v/>
      </c>
      <c r="E163">
        <f>IF(C163="","",C163*D163)</f>
        <v/>
      </c>
      <c r="F163">
        <f>IF(A163="","",SUMIFS(C$2:C163,A$2:A163,A163,B$2:B163,"&lt;="&amp;B163))</f>
        <v/>
      </c>
      <c r="G163">
        <f>IF(A163="","",SUMIFS(Transactions!$D:$D,Transactions!$B:$B,A163,Transactions!$C:$C,"Sell"))</f>
        <v/>
      </c>
      <c r="H163">
        <f>IF(A163="","",MAX(0,MIN(C163,G163-SUM(H$2:H162))))</f>
        <v/>
      </c>
      <c r="I163">
        <f>IF(C163="","",C163-H163)</f>
        <v/>
      </c>
      <c r="J163">
        <f>IF(I163="","",I163*D163)</f>
        <v/>
      </c>
    </row>
    <row r="164">
      <c r="A164">
        <f>IFERROR(INDEX(SORT(FILTER(Transactions!$B:$B,(Transactions!$C:$C="Buy")*(Transactions!$B:$B&lt;&gt;"")),1,1),163),"")</f>
        <v/>
      </c>
      <c r="B164">
        <f>IF(A164="","",INDEX(SORT(FILTER(Transactions!$A:$G,(Transactions!$C:$C="Buy")*(Transactions!$B:$B&lt;&gt;"")),2,1),163,1))</f>
        <v/>
      </c>
      <c r="C164">
        <f>IF(A164="","",INDEX(SORT(FILTER(Transactions!$A:$G,(Transactions!$C:$C="Buy")*(Transactions!$B:$B&lt;&gt;"")),2,1),163,4))</f>
        <v/>
      </c>
      <c r="D164">
        <f>IF(A164="","",INDEX(SORT(FILTER(Transactions!$A:$G,(Transactions!$C:$C="Buy")*(Transactions!$B:$B&lt;&gt;"")),2,1),163,5))</f>
        <v/>
      </c>
      <c r="E164">
        <f>IF(C164="","",C164*D164)</f>
        <v/>
      </c>
      <c r="F164">
        <f>IF(A164="","",SUMIFS(C$2:C164,A$2:A164,A164,B$2:B164,"&lt;="&amp;B164))</f>
        <v/>
      </c>
      <c r="G164">
        <f>IF(A164="","",SUMIFS(Transactions!$D:$D,Transactions!$B:$B,A164,Transactions!$C:$C,"Sell"))</f>
        <v/>
      </c>
      <c r="H164">
        <f>IF(A164="","",MAX(0,MIN(C164,G164-SUM(H$2:H163))))</f>
        <v/>
      </c>
      <c r="I164">
        <f>IF(C164="","",C164-H164)</f>
        <v/>
      </c>
      <c r="J164">
        <f>IF(I164="","",I164*D164)</f>
        <v/>
      </c>
    </row>
    <row r="165">
      <c r="A165">
        <f>IFERROR(INDEX(SORT(FILTER(Transactions!$B:$B,(Transactions!$C:$C="Buy")*(Transactions!$B:$B&lt;&gt;"")),1,1),164),"")</f>
        <v/>
      </c>
      <c r="B165">
        <f>IF(A165="","",INDEX(SORT(FILTER(Transactions!$A:$G,(Transactions!$C:$C="Buy")*(Transactions!$B:$B&lt;&gt;"")),2,1),164,1))</f>
        <v/>
      </c>
      <c r="C165">
        <f>IF(A165="","",INDEX(SORT(FILTER(Transactions!$A:$G,(Transactions!$C:$C="Buy")*(Transactions!$B:$B&lt;&gt;"")),2,1),164,4))</f>
        <v/>
      </c>
      <c r="D165">
        <f>IF(A165="","",INDEX(SORT(FILTER(Transactions!$A:$G,(Transactions!$C:$C="Buy")*(Transactions!$B:$B&lt;&gt;"")),2,1),164,5))</f>
        <v/>
      </c>
      <c r="E165">
        <f>IF(C165="","",C165*D165)</f>
        <v/>
      </c>
      <c r="F165">
        <f>IF(A165="","",SUMIFS(C$2:C165,A$2:A165,A165,B$2:B165,"&lt;="&amp;B165))</f>
        <v/>
      </c>
      <c r="G165">
        <f>IF(A165="","",SUMIFS(Transactions!$D:$D,Transactions!$B:$B,A165,Transactions!$C:$C,"Sell"))</f>
        <v/>
      </c>
      <c r="H165">
        <f>IF(A165="","",MAX(0,MIN(C165,G165-SUM(H$2:H164))))</f>
        <v/>
      </c>
      <c r="I165">
        <f>IF(C165="","",C165-H165)</f>
        <v/>
      </c>
      <c r="J165">
        <f>IF(I165="","",I165*D165)</f>
        <v/>
      </c>
    </row>
    <row r="166">
      <c r="A166">
        <f>IFERROR(INDEX(SORT(FILTER(Transactions!$B:$B,(Transactions!$C:$C="Buy")*(Transactions!$B:$B&lt;&gt;"")),1,1),165),"")</f>
        <v/>
      </c>
      <c r="B166">
        <f>IF(A166="","",INDEX(SORT(FILTER(Transactions!$A:$G,(Transactions!$C:$C="Buy")*(Transactions!$B:$B&lt;&gt;"")),2,1),165,1))</f>
        <v/>
      </c>
      <c r="C166">
        <f>IF(A166="","",INDEX(SORT(FILTER(Transactions!$A:$G,(Transactions!$C:$C="Buy")*(Transactions!$B:$B&lt;&gt;"")),2,1),165,4))</f>
        <v/>
      </c>
      <c r="D166">
        <f>IF(A166="","",INDEX(SORT(FILTER(Transactions!$A:$G,(Transactions!$C:$C="Buy")*(Transactions!$B:$B&lt;&gt;"")),2,1),165,5))</f>
        <v/>
      </c>
      <c r="E166">
        <f>IF(C166="","",C166*D166)</f>
        <v/>
      </c>
      <c r="F166">
        <f>IF(A166="","",SUMIFS(C$2:C166,A$2:A166,A166,B$2:B166,"&lt;="&amp;B166))</f>
        <v/>
      </c>
      <c r="G166">
        <f>IF(A166="","",SUMIFS(Transactions!$D:$D,Transactions!$B:$B,A166,Transactions!$C:$C,"Sell"))</f>
        <v/>
      </c>
      <c r="H166">
        <f>IF(A166="","",MAX(0,MIN(C166,G166-SUM(H$2:H165))))</f>
        <v/>
      </c>
      <c r="I166">
        <f>IF(C166="","",C166-H166)</f>
        <v/>
      </c>
      <c r="J166">
        <f>IF(I166="","",I166*D166)</f>
        <v/>
      </c>
    </row>
    <row r="167">
      <c r="A167">
        <f>IFERROR(INDEX(SORT(FILTER(Transactions!$B:$B,(Transactions!$C:$C="Buy")*(Transactions!$B:$B&lt;&gt;"")),1,1),166),"")</f>
        <v/>
      </c>
      <c r="B167">
        <f>IF(A167="","",INDEX(SORT(FILTER(Transactions!$A:$G,(Transactions!$C:$C="Buy")*(Transactions!$B:$B&lt;&gt;"")),2,1),166,1))</f>
        <v/>
      </c>
      <c r="C167">
        <f>IF(A167="","",INDEX(SORT(FILTER(Transactions!$A:$G,(Transactions!$C:$C="Buy")*(Transactions!$B:$B&lt;&gt;"")),2,1),166,4))</f>
        <v/>
      </c>
      <c r="D167">
        <f>IF(A167="","",INDEX(SORT(FILTER(Transactions!$A:$G,(Transactions!$C:$C="Buy")*(Transactions!$B:$B&lt;&gt;"")),2,1),166,5))</f>
        <v/>
      </c>
      <c r="E167">
        <f>IF(C167="","",C167*D167)</f>
        <v/>
      </c>
      <c r="F167">
        <f>IF(A167="","",SUMIFS(C$2:C167,A$2:A167,A167,B$2:B167,"&lt;="&amp;B167))</f>
        <v/>
      </c>
      <c r="G167">
        <f>IF(A167="","",SUMIFS(Transactions!$D:$D,Transactions!$B:$B,A167,Transactions!$C:$C,"Sell"))</f>
        <v/>
      </c>
      <c r="H167">
        <f>IF(A167="","",MAX(0,MIN(C167,G167-SUM(H$2:H166))))</f>
        <v/>
      </c>
      <c r="I167">
        <f>IF(C167="","",C167-H167)</f>
        <v/>
      </c>
      <c r="J167">
        <f>IF(I167="","",I167*D167)</f>
        <v/>
      </c>
    </row>
    <row r="168">
      <c r="A168">
        <f>IFERROR(INDEX(SORT(FILTER(Transactions!$B:$B,(Transactions!$C:$C="Buy")*(Transactions!$B:$B&lt;&gt;"")),1,1),167),"")</f>
        <v/>
      </c>
      <c r="B168">
        <f>IF(A168="","",INDEX(SORT(FILTER(Transactions!$A:$G,(Transactions!$C:$C="Buy")*(Transactions!$B:$B&lt;&gt;"")),2,1),167,1))</f>
        <v/>
      </c>
      <c r="C168">
        <f>IF(A168="","",INDEX(SORT(FILTER(Transactions!$A:$G,(Transactions!$C:$C="Buy")*(Transactions!$B:$B&lt;&gt;"")),2,1),167,4))</f>
        <v/>
      </c>
      <c r="D168">
        <f>IF(A168="","",INDEX(SORT(FILTER(Transactions!$A:$G,(Transactions!$C:$C="Buy")*(Transactions!$B:$B&lt;&gt;"")),2,1),167,5))</f>
        <v/>
      </c>
      <c r="E168">
        <f>IF(C168="","",C168*D168)</f>
        <v/>
      </c>
      <c r="F168">
        <f>IF(A168="","",SUMIFS(C$2:C168,A$2:A168,A168,B$2:B168,"&lt;="&amp;B168))</f>
        <v/>
      </c>
      <c r="G168">
        <f>IF(A168="","",SUMIFS(Transactions!$D:$D,Transactions!$B:$B,A168,Transactions!$C:$C,"Sell"))</f>
        <v/>
      </c>
      <c r="H168">
        <f>IF(A168="","",MAX(0,MIN(C168,G168-SUM(H$2:H167))))</f>
        <v/>
      </c>
      <c r="I168">
        <f>IF(C168="","",C168-H168)</f>
        <v/>
      </c>
      <c r="J168">
        <f>IF(I168="","",I168*D168)</f>
        <v/>
      </c>
    </row>
    <row r="169">
      <c r="A169">
        <f>IFERROR(INDEX(SORT(FILTER(Transactions!$B:$B,(Transactions!$C:$C="Buy")*(Transactions!$B:$B&lt;&gt;"")),1,1),168),"")</f>
        <v/>
      </c>
      <c r="B169">
        <f>IF(A169="","",INDEX(SORT(FILTER(Transactions!$A:$G,(Transactions!$C:$C="Buy")*(Transactions!$B:$B&lt;&gt;"")),2,1),168,1))</f>
        <v/>
      </c>
      <c r="C169">
        <f>IF(A169="","",INDEX(SORT(FILTER(Transactions!$A:$G,(Transactions!$C:$C="Buy")*(Transactions!$B:$B&lt;&gt;"")),2,1),168,4))</f>
        <v/>
      </c>
      <c r="D169">
        <f>IF(A169="","",INDEX(SORT(FILTER(Transactions!$A:$G,(Transactions!$C:$C="Buy")*(Transactions!$B:$B&lt;&gt;"")),2,1),168,5))</f>
        <v/>
      </c>
      <c r="E169">
        <f>IF(C169="","",C169*D169)</f>
        <v/>
      </c>
      <c r="F169">
        <f>IF(A169="","",SUMIFS(C$2:C169,A$2:A169,A169,B$2:B169,"&lt;="&amp;B169))</f>
        <v/>
      </c>
      <c r="G169">
        <f>IF(A169="","",SUMIFS(Transactions!$D:$D,Transactions!$B:$B,A169,Transactions!$C:$C,"Sell"))</f>
        <v/>
      </c>
      <c r="H169">
        <f>IF(A169="","",MAX(0,MIN(C169,G169-SUM(H$2:H168))))</f>
        <v/>
      </c>
      <c r="I169">
        <f>IF(C169="","",C169-H169)</f>
        <v/>
      </c>
      <c r="J169">
        <f>IF(I169="","",I169*D169)</f>
        <v/>
      </c>
    </row>
    <row r="170">
      <c r="A170">
        <f>IFERROR(INDEX(SORT(FILTER(Transactions!$B:$B,(Transactions!$C:$C="Buy")*(Transactions!$B:$B&lt;&gt;"")),1,1),169),"")</f>
        <v/>
      </c>
      <c r="B170">
        <f>IF(A170="","",INDEX(SORT(FILTER(Transactions!$A:$G,(Transactions!$C:$C="Buy")*(Transactions!$B:$B&lt;&gt;"")),2,1),169,1))</f>
        <v/>
      </c>
      <c r="C170">
        <f>IF(A170="","",INDEX(SORT(FILTER(Transactions!$A:$G,(Transactions!$C:$C="Buy")*(Transactions!$B:$B&lt;&gt;"")),2,1),169,4))</f>
        <v/>
      </c>
      <c r="D170">
        <f>IF(A170="","",INDEX(SORT(FILTER(Transactions!$A:$G,(Transactions!$C:$C="Buy")*(Transactions!$B:$B&lt;&gt;"")),2,1),169,5))</f>
        <v/>
      </c>
      <c r="E170">
        <f>IF(C170="","",C170*D170)</f>
        <v/>
      </c>
      <c r="F170">
        <f>IF(A170="","",SUMIFS(C$2:C170,A$2:A170,A170,B$2:B170,"&lt;="&amp;B170))</f>
        <v/>
      </c>
      <c r="G170">
        <f>IF(A170="","",SUMIFS(Transactions!$D:$D,Transactions!$B:$B,A170,Transactions!$C:$C,"Sell"))</f>
        <v/>
      </c>
      <c r="H170">
        <f>IF(A170="","",MAX(0,MIN(C170,G170-SUM(H$2:H169))))</f>
        <v/>
      </c>
      <c r="I170">
        <f>IF(C170="","",C170-H170)</f>
        <v/>
      </c>
      <c r="J170">
        <f>IF(I170="","",I170*D170)</f>
        <v/>
      </c>
    </row>
    <row r="171">
      <c r="A171">
        <f>IFERROR(INDEX(SORT(FILTER(Transactions!$B:$B,(Transactions!$C:$C="Buy")*(Transactions!$B:$B&lt;&gt;"")),1,1),170),"")</f>
        <v/>
      </c>
      <c r="B171">
        <f>IF(A171="","",INDEX(SORT(FILTER(Transactions!$A:$G,(Transactions!$C:$C="Buy")*(Transactions!$B:$B&lt;&gt;"")),2,1),170,1))</f>
        <v/>
      </c>
      <c r="C171">
        <f>IF(A171="","",INDEX(SORT(FILTER(Transactions!$A:$G,(Transactions!$C:$C="Buy")*(Transactions!$B:$B&lt;&gt;"")),2,1),170,4))</f>
        <v/>
      </c>
      <c r="D171">
        <f>IF(A171="","",INDEX(SORT(FILTER(Transactions!$A:$G,(Transactions!$C:$C="Buy")*(Transactions!$B:$B&lt;&gt;"")),2,1),170,5))</f>
        <v/>
      </c>
      <c r="E171">
        <f>IF(C171="","",C171*D171)</f>
        <v/>
      </c>
      <c r="F171">
        <f>IF(A171="","",SUMIFS(C$2:C171,A$2:A171,A171,B$2:B171,"&lt;="&amp;B171))</f>
        <v/>
      </c>
      <c r="G171">
        <f>IF(A171="","",SUMIFS(Transactions!$D:$D,Transactions!$B:$B,A171,Transactions!$C:$C,"Sell"))</f>
        <v/>
      </c>
      <c r="H171">
        <f>IF(A171="","",MAX(0,MIN(C171,G171-SUM(H$2:H170))))</f>
        <v/>
      </c>
      <c r="I171">
        <f>IF(C171="","",C171-H171)</f>
        <v/>
      </c>
      <c r="J171">
        <f>IF(I171="","",I171*D171)</f>
        <v/>
      </c>
    </row>
    <row r="172">
      <c r="A172">
        <f>IFERROR(INDEX(SORT(FILTER(Transactions!$B:$B,(Transactions!$C:$C="Buy")*(Transactions!$B:$B&lt;&gt;"")),1,1),171),"")</f>
        <v/>
      </c>
      <c r="B172">
        <f>IF(A172="","",INDEX(SORT(FILTER(Transactions!$A:$G,(Transactions!$C:$C="Buy")*(Transactions!$B:$B&lt;&gt;"")),2,1),171,1))</f>
        <v/>
      </c>
      <c r="C172">
        <f>IF(A172="","",INDEX(SORT(FILTER(Transactions!$A:$G,(Transactions!$C:$C="Buy")*(Transactions!$B:$B&lt;&gt;"")),2,1),171,4))</f>
        <v/>
      </c>
      <c r="D172">
        <f>IF(A172="","",INDEX(SORT(FILTER(Transactions!$A:$G,(Transactions!$C:$C="Buy")*(Transactions!$B:$B&lt;&gt;"")),2,1),171,5))</f>
        <v/>
      </c>
      <c r="E172">
        <f>IF(C172="","",C172*D172)</f>
        <v/>
      </c>
      <c r="F172">
        <f>IF(A172="","",SUMIFS(C$2:C172,A$2:A172,A172,B$2:B172,"&lt;="&amp;B172))</f>
        <v/>
      </c>
      <c r="G172">
        <f>IF(A172="","",SUMIFS(Transactions!$D:$D,Transactions!$B:$B,A172,Transactions!$C:$C,"Sell"))</f>
        <v/>
      </c>
      <c r="H172">
        <f>IF(A172="","",MAX(0,MIN(C172,G172-SUM(H$2:H171))))</f>
        <v/>
      </c>
      <c r="I172">
        <f>IF(C172="","",C172-H172)</f>
        <v/>
      </c>
      <c r="J172">
        <f>IF(I172="","",I172*D172)</f>
        <v/>
      </c>
    </row>
    <row r="173">
      <c r="A173">
        <f>IFERROR(INDEX(SORT(FILTER(Transactions!$B:$B,(Transactions!$C:$C="Buy")*(Transactions!$B:$B&lt;&gt;"")),1,1),172),"")</f>
        <v/>
      </c>
      <c r="B173">
        <f>IF(A173="","",INDEX(SORT(FILTER(Transactions!$A:$G,(Transactions!$C:$C="Buy")*(Transactions!$B:$B&lt;&gt;"")),2,1),172,1))</f>
        <v/>
      </c>
      <c r="C173">
        <f>IF(A173="","",INDEX(SORT(FILTER(Transactions!$A:$G,(Transactions!$C:$C="Buy")*(Transactions!$B:$B&lt;&gt;"")),2,1),172,4))</f>
        <v/>
      </c>
      <c r="D173">
        <f>IF(A173="","",INDEX(SORT(FILTER(Transactions!$A:$G,(Transactions!$C:$C="Buy")*(Transactions!$B:$B&lt;&gt;"")),2,1),172,5))</f>
        <v/>
      </c>
      <c r="E173">
        <f>IF(C173="","",C173*D173)</f>
        <v/>
      </c>
      <c r="F173">
        <f>IF(A173="","",SUMIFS(C$2:C173,A$2:A173,A173,B$2:B173,"&lt;="&amp;B173))</f>
        <v/>
      </c>
      <c r="G173">
        <f>IF(A173="","",SUMIFS(Transactions!$D:$D,Transactions!$B:$B,A173,Transactions!$C:$C,"Sell"))</f>
        <v/>
      </c>
      <c r="H173">
        <f>IF(A173="","",MAX(0,MIN(C173,G173-SUM(H$2:H172))))</f>
        <v/>
      </c>
      <c r="I173">
        <f>IF(C173="","",C173-H173)</f>
        <v/>
      </c>
      <c r="J173">
        <f>IF(I173="","",I173*D173)</f>
        <v/>
      </c>
    </row>
    <row r="174">
      <c r="A174">
        <f>IFERROR(INDEX(SORT(FILTER(Transactions!$B:$B,(Transactions!$C:$C="Buy")*(Transactions!$B:$B&lt;&gt;"")),1,1),173),"")</f>
        <v/>
      </c>
      <c r="B174">
        <f>IF(A174="","",INDEX(SORT(FILTER(Transactions!$A:$G,(Transactions!$C:$C="Buy")*(Transactions!$B:$B&lt;&gt;"")),2,1),173,1))</f>
        <v/>
      </c>
      <c r="C174">
        <f>IF(A174="","",INDEX(SORT(FILTER(Transactions!$A:$G,(Transactions!$C:$C="Buy")*(Transactions!$B:$B&lt;&gt;"")),2,1),173,4))</f>
        <v/>
      </c>
      <c r="D174">
        <f>IF(A174="","",INDEX(SORT(FILTER(Transactions!$A:$G,(Transactions!$C:$C="Buy")*(Transactions!$B:$B&lt;&gt;"")),2,1),173,5))</f>
        <v/>
      </c>
      <c r="E174">
        <f>IF(C174="","",C174*D174)</f>
        <v/>
      </c>
      <c r="F174">
        <f>IF(A174="","",SUMIFS(C$2:C174,A$2:A174,A174,B$2:B174,"&lt;="&amp;B174))</f>
        <v/>
      </c>
      <c r="G174">
        <f>IF(A174="","",SUMIFS(Transactions!$D:$D,Transactions!$B:$B,A174,Transactions!$C:$C,"Sell"))</f>
        <v/>
      </c>
      <c r="H174">
        <f>IF(A174="","",MAX(0,MIN(C174,G174-SUM(H$2:H173))))</f>
        <v/>
      </c>
      <c r="I174">
        <f>IF(C174="","",C174-H174)</f>
        <v/>
      </c>
      <c r="J174">
        <f>IF(I174="","",I174*D174)</f>
        <v/>
      </c>
    </row>
    <row r="175">
      <c r="A175">
        <f>IFERROR(INDEX(SORT(FILTER(Transactions!$B:$B,(Transactions!$C:$C="Buy")*(Transactions!$B:$B&lt;&gt;"")),1,1),174),"")</f>
        <v/>
      </c>
      <c r="B175">
        <f>IF(A175="","",INDEX(SORT(FILTER(Transactions!$A:$G,(Transactions!$C:$C="Buy")*(Transactions!$B:$B&lt;&gt;"")),2,1),174,1))</f>
        <v/>
      </c>
      <c r="C175">
        <f>IF(A175="","",INDEX(SORT(FILTER(Transactions!$A:$G,(Transactions!$C:$C="Buy")*(Transactions!$B:$B&lt;&gt;"")),2,1),174,4))</f>
        <v/>
      </c>
      <c r="D175">
        <f>IF(A175="","",INDEX(SORT(FILTER(Transactions!$A:$G,(Transactions!$C:$C="Buy")*(Transactions!$B:$B&lt;&gt;"")),2,1),174,5))</f>
        <v/>
      </c>
      <c r="E175">
        <f>IF(C175="","",C175*D175)</f>
        <v/>
      </c>
      <c r="F175">
        <f>IF(A175="","",SUMIFS(C$2:C175,A$2:A175,A175,B$2:B175,"&lt;="&amp;B175))</f>
        <v/>
      </c>
      <c r="G175">
        <f>IF(A175="","",SUMIFS(Transactions!$D:$D,Transactions!$B:$B,A175,Transactions!$C:$C,"Sell"))</f>
        <v/>
      </c>
      <c r="H175">
        <f>IF(A175="","",MAX(0,MIN(C175,G175-SUM(H$2:H174))))</f>
        <v/>
      </c>
      <c r="I175">
        <f>IF(C175="","",C175-H175)</f>
        <v/>
      </c>
      <c r="J175">
        <f>IF(I175="","",I175*D175)</f>
        <v/>
      </c>
    </row>
    <row r="176">
      <c r="A176">
        <f>IFERROR(INDEX(SORT(FILTER(Transactions!$B:$B,(Transactions!$C:$C="Buy")*(Transactions!$B:$B&lt;&gt;"")),1,1),175),"")</f>
        <v/>
      </c>
      <c r="B176">
        <f>IF(A176="","",INDEX(SORT(FILTER(Transactions!$A:$G,(Transactions!$C:$C="Buy")*(Transactions!$B:$B&lt;&gt;"")),2,1),175,1))</f>
        <v/>
      </c>
      <c r="C176">
        <f>IF(A176="","",INDEX(SORT(FILTER(Transactions!$A:$G,(Transactions!$C:$C="Buy")*(Transactions!$B:$B&lt;&gt;"")),2,1),175,4))</f>
        <v/>
      </c>
      <c r="D176">
        <f>IF(A176="","",INDEX(SORT(FILTER(Transactions!$A:$G,(Transactions!$C:$C="Buy")*(Transactions!$B:$B&lt;&gt;"")),2,1),175,5))</f>
        <v/>
      </c>
      <c r="E176">
        <f>IF(C176="","",C176*D176)</f>
        <v/>
      </c>
      <c r="F176">
        <f>IF(A176="","",SUMIFS(C$2:C176,A$2:A176,A176,B$2:B176,"&lt;="&amp;B176))</f>
        <v/>
      </c>
      <c r="G176">
        <f>IF(A176="","",SUMIFS(Transactions!$D:$D,Transactions!$B:$B,A176,Transactions!$C:$C,"Sell"))</f>
        <v/>
      </c>
      <c r="H176">
        <f>IF(A176="","",MAX(0,MIN(C176,G176-SUM(H$2:H175))))</f>
        <v/>
      </c>
      <c r="I176">
        <f>IF(C176="","",C176-H176)</f>
        <v/>
      </c>
      <c r="J176">
        <f>IF(I176="","",I176*D176)</f>
        <v/>
      </c>
    </row>
    <row r="177">
      <c r="A177">
        <f>IFERROR(INDEX(SORT(FILTER(Transactions!$B:$B,(Transactions!$C:$C="Buy")*(Transactions!$B:$B&lt;&gt;"")),1,1),176),"")</f>
        <v/>
      </c>
      <c r="B177">
        <f>IF(A177="","",INDEX(SORT(FILTER(Transactions!$A:$G,(Transactions!$C:$C="Buy")*(Transactions!$B:$B&lt;&gt;"")),2,1),176,1))</f>
        <v/>
      </c>
      <c r="C177">
        <f>IF(A177="","",INDEX(SORT(FILTER(Transactions!$A:$G,(Transactions!$C:$C="Buy")*(Transactions!$B:$B&lt;&gt;"")),2,1),176,4))</f>
        <v/>
      </c>
      <c r="D177">
        <f>IF(A177="","",INDEX(SORT(FILTER(Transactions!$A:$G,(Transactions!$C:$C="Buy")*(Transactions!$B:$B&lt;&gt;"")),2,1),176,5))</f>
        <v/>
      </c>
      <c r="E177">
        <f>IF(C177="","",C177*D177)</f>
        <v/>
      </c>
      <c r="F177">
        <f>IF(A177="","",SUMIFS(C$2:C177,A$2:A177,A177,B$2:B177,"&lt;="&amp;B177))</f>
        <v/>
      </c>
      <c r="G177">
        <f>IF(A177="","",SUMIFS(Transactions!$D:$D,Transactions!$B:$B,A177,Transactions!$C:$C,"Sell"))</f>
        <v/>
      </c>
      <c r="H177">
        <f>IF(A177="","",MAX(0,MIN(C177,G177-SUM(H$2:H176))))</f>
        <v/>
      </c>
      <c r="I177">
        <f>IF(C177="","",C177-H177)</f>
        <v/>
      </c>
      <c r="J177">
        <f>IF(I177="","",I177*D177)</f>
        <v/>
      </c>
    </row>
    <row r="178">
      <c r="A178">
        <f>IFERROR(INDEX(SORT(FILTER(Transactions!$B:$B,(Transactions!$C:$C="Buy")*(Transactions!$B:$B&lt;&gt;"")),1,1),177),"")</f>
        <v/>
      </c>
      <c r="B178">
        <f>IF(A178="","",INDEX(SORT(FILTER(Transactions!$A:$G,(Transactions!$C:$C="Buy")*(Transactions!$B:$B&lt;&gt;"")),2,1),177,1))</f>
        <v/>
      </c>
      <c r="C178">
        <f>IF(A178="","",INDEX(SORT(FILTER(Transactions!$A:$G,(Transactions!$C:$C="Buy")*(Transactions!$B:$B&lt;&gt;"")),2,1),177,4))</f>
        <v/>
      </c>
      <c r="D178">
        <f>IF(A178="","",INDEX(SORT(FILTER(Transactions!$A:$G,(Transactions!$C:$C="Buy")*(Transactions!$B:$B&lt;&gt;"")),2,1),177,5))</f>
        <v/>
      </c>
      <c r="E178">
        <f>IF(C178="","",C178*D178)</f>
        <v/>
      </c>
      <c r="F178">
        <f>IF(A178="","",SUMIFS(C$2:C178,A$2:A178,A178,B$2:B178,"&lt;="&amp;B178))</f>
        <v/>
      </c>
      <c r="G178">
        <f>IF(A178="","",SUMIFS(Transactions!$D:$D,Transactions!$B:$B,A178,Transactions!$C:$C,"Sell"))</f>
        <v/>
      </c>
      <c r="H178">
        <f>IF(A178="","",MAX(0,MIN(C178,G178-SUM(H$2:H177))))</f>
        <v/>
      </c>
      <c r="I178">
        <f>IF(C178="","",C178-H178)</f>
        <v/>
      </c>
      <c r="J178">
        <f>IF(I178="","",I178*D178)</f>
        <v/>
      </c>
    </row>
    <row r="179">
      <c r="A179">
        <f>IFERROR(INDEX(SORT(FILTER(Transactions!$B:$B,(Transactions!$C:$C="Buy")*(Transactions!$B:$B&lt;&gt;"")),1,1),178),"")</f>
        <v/>
      </c>
      <c r="B179">
        <f>IF(A179="","",INDEX(SORT(FILTER(Transactions!$A:$G,(Transactions!$C:$C="Buy")*(Transactions!$B:$B&lt;&gt;"")),2,1),178,1))</f>
        <v/>
      </c>
      <c r="C179">
        <f>IF(A179="","",INDEX(SORT(FILTER(Transactions!$A:$G,(Transactions!$C:$C="Buy")*(Transactions!$B:$B&lt;&gt;"")),2,1),178,4))</f>
        <v/>
      </c>
      <c r="D179">
        <f>IF(A179="","",INDEX(SORT(FILTER(Transactions!$A:$G,(Transactions!$C:$C="Buy")*(Transactions!$B:$B&lt;&gt;"")),2,1),178,5))</f>
        <v/>
      </c>
      <c r="E179">
        <f>IF(C179="","",C179*D179)</f>
        <v/>
      </c>
      <c r="F179">
        <f>IF(A179="","",SUMIFS(C$2:C179,A$2:A179,A179,B$2:B179,"&lt;="&amp;B179))</f>
        <v/>
      </c>
      <c r="G179">
        <f>IF(A179="","",SUMIFS(Transactions!$D:$D,Transactions!$B:$B,A179,Transactions!$C:$C,"Sell"))</f>
        <v/>
      </c>
      <c r="H179">
        <f>IF(A179="","",MAX(0,MIN(C179,G179-SUM(H$2:H178))))</f>
        <v/>
      </c>
      <c r="I179">
        <f>IF(C179="","",C179-H179)</f>
        <v/>
      </c>
      <c r="J179">
        <f>IF(I179="","",I179*D179)</f>
        <v/>
      </c>
    </row>
    <row r="180">
      <c r="A180">
        <f>IFERROR(INDEX(SORT(FILTER(Transactions!$B:$B,(Transactions!$C:$C="Buy")*(Transactions!$B:$B&lt;&gt;"")),1,1),179),"")</f>
        <v/>
      </c>
      <c r="B180">
        <f>IF(A180="","",INDEX(SORT(FILTER(Transactions!$A:$G,(Transactions!$C:$C="Buy")*(Transactions!$B:$B&lt;&gt;"")),2,1),179,1))</f>
        <v/>
      </c>
      <c r="C180">
        <f>IF(A180="","",INDEX(SORT(FILTER(Transactions!$A:$G,(Transactions!$C:$C="Buy")*(Transactions!$B:$B&lt;&gt;"")),2,1),179,4))</f>
        <v/>
      </c>
      <c r="D180">
        <f>IF(A180="","",INDEX(SORT(FILTER(Transactions!$A:$G,(Transactions!$C:$C="Buy")*(Transactions!$B:$B&lt;&gt;"")),2,1),179,5))</f>
        <v/>
      </c>
      <c r="E180">
        <f>IF(C180="","",C180*D180)</f>
        <v/>
      </c>
      <c r="F180">
        <f>IF(A180="","",SUMIFS(C$2:C180,A$2:A180,A180,B$2:B180,"&lt;="&amp;B180))</f>
        <v/>
      </c>
      <c r="G180">
        <f>IF(A180="","",SUMIFS(Transactions!$D:$D,Transactions!$B:$B,A180,Transactions!$C:$C,"Sell"))</f>
        <v/>
      </c>
      <c r="H180">
        <f>IF(A180="","",MAX(0,MIN(C180,G180-SUM(H$2:H179))))</f>
        <v/>
      </c>
      <c r="I180">
        <f>IF(C180="","",C180-H180)</f>
        <v/>
      </c>
      <c r="J180">
        <f>IF(I180="","",I180*D180)</f>
        <v/>
      </c>
    </row>
    <row r="181">
      <c r="A181">
        <f>IFERROR(INDEX(SORT(FILTER(Transactions!$B:$B,(Transactions!$C:$C="Buy")*(Transactions!$B:$B&lt;&gt;"")),1,1),180),"")</f>
        <v/>
      </c>
      <c r="B181">
        <f>IF(A181="","",INDEX(SORT(FILTER(Transactions!$A:$G,(Transactions!$C:$C="Buy")*(Transactions!$B:$B&lt;&gt;"")),2,1),180,1))</f>
        <v/>
      </c>
      <c r="C181">
        <f>IF(A181="","",INDEX(SORT(FILTER(Transactions!$A:$G,(Transactions!$C:$C="Buy")*(Transactions!$B:$B&lt;&gt;"")),2,1),180,4))</f>
        <v/>
      </c>
      <c r="D181">
        <f>IF(A181="","",INDEX(SORT(FILTER(Transactions!$A:$G,(Transactions!$C:$C="Buy")*(Transactions!$B:$B&lt;&gt;"")),2,1),180,5))</f>
        <v/>
      </c>
      <c r="E181">
        <f>IF(C181="","",C181*D181)</f>
        <v/>
      </c>
      <c r="F181">
        <f>IF(A181="","",SUMIFS(C$2:C181,A$2:A181,A181,B$2:B181,"&lt;="&amp;B181))</f>
        <v/>
      </c>
      <c r="G181">
        <f>IF(A181="","",SUMIFS(Transactions!$D:$D,Transactions!$B:$B,A181,Transactions!$C:$C,"Sell"))</f>
        <v/>
      </c>
      <c r="H181">
        <f>IF(A181="","",MAX(0,MIN(C181,G181-SUM(H$2:H180))))</f>
        <v/>
      </c>
      <c r="I181">
        <f>IF(C181="","",C181-H181)</f>
        <v/>
      </c>
      <c r="J181">
        <f>IF(I181="","",I181*D181)</f>
        <v/>
      </c>
    </row>
    <row r="182">
      <c r="A182">
        <f>IFERROR(INDEX(SORT(FILTER(Transactions!$B:$B,(Transactions!$C:$C="Buy")*(Transactions!$B:$B&lt;&gt;"")),1,1),181),"")</f>
        <v/>
      </c>
      <c r="B182">
        <f>IF(A182="","",INDEX(SORT(FILTER(Transactions!$A:$G,(Transactions!$C:$C="Buy")*(Transactions!$B:$B&lt;&gt;"")),2,1),181,1))</f>
        <v/>
      </c>
      <c r="C182">
        <f>IF(A182="","",INDEX(SORT(FILTER(Transactions!$A:$G,(Transactions!$C:$C="Buy")*(Transactions!$B:$B&lt;&gt;"")),2,1),181,4))</f>
        <v/>
      </c>
      <c r="D182">
        <f>IF(A182="","",INDEX(SORT(FILTER(Transactions!$A:$G,(Transactions!$C:$C="Buy")*(Transactions!$B:$B&lt;&gt;"")),2,1),181,5))</f>
        <v/>
      </c>
      <c r="E182">
        <f>IF(C182="","",C182*D182)</f>
        <v/>
      </c>
      <c r="F182">
        <f>IF(A182="","",SUMIFS(C$2:C182,A$2:A182,A182,B$2:B182,"&lt;="&amp;B182))</f>
        <v/>
      </c>
      <c r="G182">
        <f>IF(A182="","",SUMIFS(Transactions!$D:$D,Transactions!$B:$B,A182,Transactions!$C:$C,"Sell"))</f>
        <v/>
      </c>
      <c r="H182">
        <f>IF(A182="","",MAX(0,MIN(C182,G182-SUM(H$2:H181))))</f>
        <v/>
      </c>
      <c r="I182">
        <f>IF(C182="","",C182-H182)</f>
        <v/>
      </c>
      <c r="J182">
        <f>IF(I182="","",I182*D182)</f>
        <v/>
      </c>
    </row>
    <row r="183">
      <c r="A183">
        <f>IFERROR(INDEX(SORT(FILTER(Transactions!$B:$B,(Transactions!$C:$C="Buy")*(Transactions!$B:$B&lt;&gt;"")),1,1),182),"")</f>
        <v/>
      </c>
      <c r="B183">
        <f>IF(A183="","",INDEX(SORT(FILTER(Transactions!$A:$G,(Transactions!$C:$C="Buy")*(Transactions!$B:$B&lt;&gt;"")),2,1),182,1))</f>
        <v/>
      </c>
      <c r="C183">
        <f>IF(A183="","",INDEX(SORT(FILTER(Transactions!$A:$G,(Transactions!$C:$C="Buy")*(Transactions!$B:$B&lt;&gt;"")),2,1),182,4))</f>
        <v/>
      </c>
      <c r="D183">
        <f>IF(A183="","",INDEX(SORT(FILTER(Transactions!$A:$G,(Transactions!$C:$C="Buy")*(Transactions!$B:$B&lt;&gt;"")),2,1),182,5))</f>
        <v/>
      </c>
      <c r="E183">
        <f>IF(C183="","",C183*D183)</f>
        <v/>
      </c>
      <c r="F183">
        <f>IF(A183="","",SUMIFS(C$2:C183,A$2:A183,A183,B$2:B183,"&lt;="&amp;B183))</f>
        <v/>
      </c>
      <c r="G183">
        <f>IF(A183="","",SUMIFS(Transactions!$D:$D,Transactions!$B:$B,A183,Transactions!$C:$C,"Sell"))</f>
        <v/>
      </c>
      <c r="H183">
        <f>IF(A183="","",MAX(0,MIN(C183,G183-SUM(H$2:H182))))</f>
        <v/>
      </c>
      <c r="I183">
        <f>IF(C183="","",C183-H183)</f>
        <v/>
      </c>
      <c r="J183">
        <f>IF(I183="","",I183*D183)</f>
        <v/>
      </c>
    </row>
    <row r="184">
      <c r="A184">
        <f>IFERROR(INDEX(SORT(FILTER(Transactions!$B:$B,(Transactions!$C:$C="Buy")*(Transactions!$B:$B&lt;&gt;"")),1,1),183),"")</f>
        <v/>
      </c>
      <c r="B184">
        <f>IF(A184="","",INDEX(SORT(FILTER(Transactions!$A:$G,(Transactions!$C:$C="Buy")*(Transactions!$B:$B&lt;&gt;"")),2,1),183,1))</f>
        <v/>
      </c>
      <c r="C184">
        <f>IF(A184="","",INDEX(SORT(FILTER(Transactions!$A:$G,(Transactions!$C:$C="Buy")*(Transactions!$B:$B&lt;&gt;"")),2,1),183,4))</f>
        <v/>
      </c>
      <c r="D184">
        <f>IF(A184="","",INDEX(SORT(FILTER(Transactions!$A:$G,(Transactions!$C:$C="Buy")*(Transactions!$B:$B&lt;&gt;"")),2,1),183,5))</f>
        <v/>
      </c>
      <c r="E184">
        <f>IF(C184="","",C184*D184)</f>
        <v/>
      </c>
      <c r="F184">
        <f>IF(A184="","",SUMIFS(C$2:C184,A$2:A184,A184,B$2:B184,"&lt;="&amp;B184))</f>
        <v/>
      </c>
      <c r="G184">
        <f>IF(A184="","",SUMIFS(Transactions!$D:$D,Transactions!$B:$B,A184,Transactions!$C:$C,"Sell"))</f>
        <v/>
      </c>
      <c r="H184">
        <f>IF(A184="","",MAX(0,MIN(C184,G184-SUM(H$2:H183))))</f>
        <v/>
      </c>
      <c r="I184">
        <f>IF(C184="","",C184-H184)</f>
        <v/>
      </c>
      <c r="J184">
        <f>IF(I184="","",I184*D184)</f>
        <v/>
      </c>
    </row>
    <row r="185">
      <c r="A185">
        <f>IFERROR(INDEX(SORT(FILTER(Transactions!$B:$B,(Transactions!$C:$C="Buy")*(Transactions!$B:$B&lt;&gt;"")),1,1),184),"")</f>
        <v/>
      </c>
      <c r="B185">
        <f>IF(A185="","",INDEX(SORT(FILTER(Transactions!$A:$G,(Transactions!$C:$C="Buy")*(Transactions!$B:$B&lt;&gt;"")),2,1),184,1))</f>
        <v/>
      </c>
      <c r="C185">
        <f>IF(A185="","",INDEX(SORT(FILTER(Transactions!$A:$G,(Transactions!$C:$C="Buy")*(Transactions!$B:$B&lt;&gt;"")),2,1),184,4))</f>
        <v/>
      </c>
      <c r="D185">
        <f>IF(A185="","",INDEX(SORT(FILTER(Transactions!$A:$G,(Transactions!$C:$C="Buy")*(Transactions!$B:$B&lt;&gt;"")),2,1),184,5))</f>
        <v/>
      </c>
      <c r="E185">
        <f>IF(C185="","",C185*D185)</f>
        <v/>
      </c>
      <c r="F185">
        <f>IF(A185="","",SUMIFS(C$2:C185,A$2:A185,A185,B$2:B185,"&lt;="&amp;B185))</f>
        <v/>
      </c>
      <c r="G185">
        <f>IF(A185="","",SUMIFS(Transactions!$D:$D,Transactions!$B:$B,A185,Transactions!$C:$C,"Sell"))</f>
        <v/>
      </c>
      <c r="H185">
        <f>IF(A185="","",MAX(0,MIN(C185,G185-SUM(H$2:H184))))</f>
        <v/>
      </c>
      <c r="I185">
        <f>IF(C185="","",C185-H185)</f>
        <v/>
      </c>
      <c r="J185">
        <f>IF(I185="","",I185*D185)</f>
        <v/>
      </c>
    </row>
    <row r="186">
      <c r="A186">
        <f>IFERROR(INDEX(SORT(FILTER(Transactions!$B:$B,(Transactions!$C:$C="Buy")*(Transactions!$B:$B&lt;&gt;"")),1,1),185),"")</f>
        <v/>
      </c>
      <c r="B186">
        <f>IF(A186="","",INDEX(SORT(FILTER(Transactions!$A:$G,(Transactions!$C:$C="Buy")*(Transactions!$B:$B&lt;&gt;"")),2,1),185,1))</f>
        <v/>
      </c>
      <c r="C186">
        <f>IF(A186="","",INDEX(SORT(FILTER(Transactions!$A:$G,(Transactions!$C:$C="Buy")*(Transactions!$B:$B&lt;&gt;"")),2,1),185,4))</f>
        <v/>
      </c>
      <c r="D186">
        <f>IF(A186="","",INDEX(SORT(FILTER(Transactions!$A:$G,(Transactions!$C:$C="Buy")*(Transactions!$B:$B&lt;&gt;"")),2,1),185,5))</f>
        <v/>
      </c>
      <c r="E186">
        <f>IF(C186="","",C186*D186)</f>
        <v/>
      </c>
      <c r="F186">
        <f>IF(A186="","",SUMIFS(C$2:C186,A$2:A186,A186,B$2:B186,"&lt;="&amp;B186))</f>
        <v/>
      </c>
      <c r="G186">
        <f>IF(A186="","",SUMIFS(Transactions!$D:$D,Transactions!$B:$B,A186,Transactions!$C:$C,"Sell"))</f>
        <v/>
      </c>
      <c r="H186">
        <f>IF(A186="","",MAX(0,MIN(C186,G186-SUM(H$2:H185))))</f>
        <v/>
      </c>
      <c r="I186">
        <f>IF(C186="","",C186-H186)</f>
        <v/>
      </c>
      <c r="J186">
        <f>IF(I186="","",I186*D186)</f>
        <v/>
      </c>
    </row>
    <row r="187">
      <c r="A187">
        <f>IFERROR(INDEX(SORT(FILTER(Transactions!$B:$B,(Transactions!$C:$C="Buy")*(Transactions!$B:$B&lt;&gt;"")),1,1),186),"")</f>
        <v/>
      </c>
      <c r="B187">
        <f>IF(A187="","",INDEX(SORT(FILTER(Transactions!$A:$G,(Transactions!$C:$C="Buy")*(Transactions!$B:$B&lt;&gt;"")),2,1),186,1))</f>
        <v/>
      </c>
      <c r="C187">
        <f>IF(A187="","",INDEX(SORT(FILTER(Transactions!$A:$G,(Transactions!$C:$C="Buy")*(Transactions!$B:$B&lt;&gt;"")),2,1),186,4))</f>
        <v/>
      </c>
      <c r="D187">
        <f>IF(A187="","",INDEX(SORT(FILTER(Transactions!$A:$G,(Transactions!$C:$C="Buy")*(Transactions!$B:$B&lt;&gt;"")),2,1),186,5))</f>
        <v/>
      </c>
      <c r="E187">
        <f>IF(C187="","",C187*D187)</f>
        <v/>
      </c>
      <c r="F187">
        <f>IF(A187="","",SUMIFS(C$2:C187,A$2:A187,A187,B$2:B187,"&lt;="&amp;B187))</f>
        <v/>
      </c>
      <c r="G187">
        <f>IF(A187="","",SUMIFS(Transactions!$D:$D,Transactions!$B:$B,A187,Transactions!$C:$C,"Sell"))</f>
        <v/>
      </c>
      <c r="H187">
        <f>IF(A187="","",MAX(0,MIN(C187,G187-SUM(H$2:H186))))</f>
        <v/>
      </c>
      <c r="I187">
        <f>IF(C187="","",C187-H187)</f>
        <v/>
      </c>
      <c r="J187">
        <f>IF(I187="","",I187*D187)</f>
        <v/>
      </c>
    </row>
    <row r="188">
      <c r="A188">
        <f>IFERROR(INDEX(SORT(FILTER(Transactions!$B:$B,(Transactions!$C:$C="Buy")*(Transactions!$B:$B&lt;&gt;"")),1,1),187),"")</f>
        <v/>
      </c>
      <c r="B188">
        <f>IF(A188="","",INDEX(SORT(FILTER(Transactions!$A:$G,(Transactions!$C:$C="Buy")*(Transactions!$B:$B&lt;&gt;"")),2,1),187,1))</f>
        <v/>
      </c>
      <c r="C188">
        <f>IF(A188="","",INDEX(SORT(FILTER(Transactions!$A:$G,(Transactions!$C:$C="Buy")*(Transactions!$B:$B&lt;&gt;"")),2,1),187,4))</f>
        <v/>
      </c>
      <c r="D188">
        <f>IF(A188="","",INDEX(SORT(FILTER(Transactions!$A:$G,(Transactions!$C:$C="Buy")*(Transactions!$B:$B&lt;&gt;"")),2,1),187,5))</f>
        <v/>
      </c>
      <c r="E188">
        <f>IF(C188="","",C188*D188)</f>
        <v/>
      </c>
      <c r="F188">
        <f>IF(A188="","",SUMIFS(C$2:C188,A$2:A188,A188,B$2:B188,"&lt;="&amp;B188))</f>
        <v/>
      </c>
      <c r="G188">
        <f>IF(A188="","",SUMIFS(Transactions!$D:$D,Transactions!$B:$B,A188,Transactions!$C:$C,"Sell"))</f>
        <v/>
      </c>
      <c r="H188">
        <f>IF(A188="","",MAX(0,MIN(C188,G188-SUM(H$2:H187))))</f>
        <v/>
      </c>
      <c r="I188">
        <f>IF(C188="","",C188-H188)</f>
        <v/>
      </c>
      <c r="J188">
        <f>IF(I188="","",I188*D188)</f>
        <v/>
      </c>
    </row>
    <row r="189">
      <c r="A189">
        <f>IFERROR(INDEX(SORT(FILTER(Transactions!$B:$B,(Transactions!$C:$C="Buy")*(Transactions!$B:$B&lt;&gt;"")),1,1),188),"")</f>
        <v/>
      </c>
      <c r="B189">
        <f>IF(A189="","",INDEX(SORT(FILTER(Transactions!$A:$G,(Transactions!$C:$C="Buy")*(Transactions!$B:$B&lt;&gt;"")),2,1),188,1))</f>
        <v/>
      </c>
      <c r="C189">
        <f>IF(A189="","",INDEX(SORT(FILTER(Transactions!$A:$G,(Transactions!$C:$C="Buy")*(Transactions!$B:$B&lt;&gt;"")),2,1),188,4))</f>
        <v/>
      </c>
      <c r="D189">
        <f>IF(A189="","",INDEX(SORT(FILTER(Transactions!$A:$G,(Transactions!$C:$C="Buy")*(Transactions!$B:$B&lt;&gt;"")),2,1),188,5))</f>
        <v/>
      </c>
      <c r="E189">
        <f>IF(C189="","",C189*D189)</f>
        <v/>
      </c>
      <c r="F189">
        <f>IF(A189="","",SUMIFS(C$2:C189,A$2:A189,A189,B$2:B189,"&lt;="&amp;B189))</f>
        <v/>
      </c>
      <c r="G189">
        <f>IF(A189="","",SUMIFS(Transactions!$D:$D,Transactions!$B:$B,A189,Transactions!$C:$C,"Sell"))</f>
        <v/>
      </c>
      <c r="H189">
        <f>IF(A189="","",MAX(0,MIN(C189,G189-SUM(H$2:H188))))</f>
        <v/>
      </c>
      <c r="I189">
        <f>IF(C189="","",C189-H189)</f>
        <v/>
      </c>
      <c r="J189">
        <f>IF(I189="","",I189*D189)</f>
        <v/>
      </c>
    </row>
    <row r="190">
      <c r="A190">
        <f>IFERROR(INDEX(SORT(FILTER(Transactions!$B:$B,(Transactions!$C:$C="Buy")*(Transactions!$B:$B&lt;&gt;"")),1,1),189),"")</f>
        <v/>
      </c>
      <c r="B190">
        <f>IF(A190="","",INDEX(SORT(FILTER(Transactions!$A:$G,(Transactions!$C:$C="Buy")*(Transactions!$B:$B&lt;&gt;"")),2,1),189,1))</f>
        <v/>
      </c>
      <c r="C190">
        <f>IF(A190="","",INDEX(SORT(FILTER(Transactions!$A:$G,(Transactions!$C:$C="Buy")*(Transactions!$B:$B&lt;&gt;"")),2,1),189,4))</f>
        <v/>
      </c>
      <c r="D190">
        <f>IF(A190="","",INDEX(SORT(FILTER(Transactions!$A:$G,(Transactions!$C:$C="Buy")*(Transactions!$B:$B&lt;&gt;"")),2,1),189,5))</f>
        <v/>
      </c>
      <c r="E190">
        <f>IF(C190="","",C190*D190)</f>
        <v/>
      </c>
      <c r="F190">
        <f>IF(A190="","",SUMIFS(C$2:C190,A$2:A190,A190,B$2:B190,"&lt;="&amp;B190))</f>
        <v/>
      </c>
      <c r="G190">
        <f>IF(A190="","",SUMIFS(Transactions!$D:$D,Transactions!$B:$B,A190,Transactions!$C:$C,"Sell"))</f>
        <v/>
      </c>
      <c r="H190">
        <f>IF(A190="","",MAX(0,MIN(C190,G190-SUM(H$2:H189))))</f>
        <v/>
      </c>
      <c r="I190">
        <f>IF(C190="","",C190-H190)</f>
        <v/>
      </c>
      <c r="J190">
        <f>IF(I190="","",I190*D190)</f>
        <v/>
      </c>
    </row>
    <row r="191">
      <c r="A191">
        <f>IFERROR(INDEX(SORT(FILTER(Transactions!$B:$B,(Transactions!$C:$C="Buy")*(Transactions!$B:$B&lt;&gt;"")),1,1),190),"")</f>
        <v/>
      </c>
      <c r="B191">
        <f>IF(A191="","",INDEX(SORT(FILTER(Transactions!$A:$G,(Transactions!$C:$C="Buy")*(Transactions!$B:$B&lt;&gt;"")),2,1),190,1))</f>
        <v/>
      </c>
      <c r="C191">
        <f>IF(A191="","",INDEX(SORT(FILTER(Transactions!$A:$G,(Transactions!$C:$C="Buy")*(Transactions!$B:$B&lt;&gt;"")),2,1),190,4))</f>
        <v/>
      </c>
      <c r="D191">
        <f>IF(A191="","",INDEX(SORT(FILTER(Transactions!$A:$G,(Transactions!$C:$C="Buy")*(Transactions!$B:$B&lt;&gt;"")),2,1),190,5))</f>
        <v/>
      </c>
      <c r="E191">
        <f>IF(C191="","",C191*D191)</f>
        <v/>
      </c>
      <c r="F191">
        <f>IF(A191="","",SUMIFS(C$2:C191,A$2:A191,A191,B$2:B191,"&lt;="&amp;B191))</f>
        <v/>
      </c>
      <c r="G191">
        <f>IF(A191="","",SUMIFS(Transactions!$D:$D,Transactions!$B:$B,A191,Transactions!$C:$C,"Sell"))</f>
        <v/>
      </c>
      <c r="H191">
        <f>IF(A191="","",MAX(0,MIN(C191,G191-SUM(H$2:H190))))</f>
        <v/>
      </c>
      <c r="I191">
        <f>IF(C191="","",C191-H191)</f>
        <v/>
      </c>
      <c r="J191">
        <f>IF(I191="","",I191*D191)</f>
        <v/>
      </c>
    </row>
    <row r="192">
      <c r="A192">
        <f>IFERROR(INDEX(SORT(FILTER(Transactions!$B:$B,(Transactions!$C:$C="Buy")*(Transactions!$B:$B&lt;&gt;"")),1,1),191),"")</f>
        <v/>
      </c>
      <c r="B192">
        <f>IF(A192="","",INDEX(SORT(FILTER(Transactions!$A:$G,(Transactions!$C:$C="Buy")*(Transactions!$B:$B&lt;&gt;"")),2,1),191,1))</f>
        <v/>
      </c>
      <c r="C192">
        <f>IF(A192="","",INDEX(SORT(FILTER(Transactions!$A:$G,(Transactions!$C:$C="Buy")*(Transactions!$B:$B&lt;&gt;"")),2,1),191,4))</f>
        <v/>
      </c>
      <c r="D192">
        <f>IF(A192="","",INDEX(SORT(FILTER(Transactions!$A:$G,(Transactions!$C:$C="Buy")*(Transactions!$B:$B&lt;&gt;"")),2,1),191,5))</f>
        <v/>
      </c>
      <c r="E192">
        <f>IF(C192="","",C192*D192)</f>
        <v/>
      </c>
      <c r="F192">
        <f>IF(A192="","",SUMIFS(C$2:C192,A$2:A192,A192,B$2:B192,"&lt;="&amp;B192))</f>
        <v/>
      </c>
      <c r="G192">
        <f>IF(A192="","",SUMIFS(Transactions!$D:$D,Transactions!$B:$B,A192,Transactions!$C:$C,"Sell"))</f>
        <v/>
      </c>
      <c r="H192">
        <f>IF(A192="","",MAX(0,MIN(C192,G192-SUM(H$2:H191))))</f>
        <v/>
      </c>
      <c r="I192">
        <f>IF(C192="","",C192-H192)</f>
        <v/>
      </c>
      <c r="J192">
        <f>IF(I192="","",I192*D192)</f>
        <v/>
      </c>
    </row>
    <row r="193">
      <c r="A193">
        <f>IFERROR(INDEX(SORT(FILTER(Transactions!$B:$B,(Transactions!$C:$C="Buy")*(Transactions!$B:$B&lt;&gt;"")),1,1),192),"")</f>
        <v/>
      </c>
      <c r="B193">
        <f>IF(A193="","",INDEX(SORT(FILTER(Transactions!$A:$G,(Transactions!$C:$C="Buy")*(Transactions!$B:$B&lt;&gt;"")),2,1),192,1))</f>
        <v/>
      </c>
      <c r="C193">
        <f>IF(A193="","",INDEX(SORT(FILTER(Transactions!$A:$G,(Transactions!$C:$C="Buy")*(Transactions!$B:$B&lt;&gt;"")),2,1),192,4))</f>
        <v/>
      </c>
      <c r="D193">
        <f>IF(A193="","",INDEX(SORT(FILTER(Transactions!$A:$G,(Transactions!$C:$C="Buy")*(Transactions!$B:$B&lt;&gt;"")),2,1),192,5))</f>
        <v/>
      </c>
      <c r="E193">
        <f>IF(C193="","",C193*D193)</f>
        <v/>
      </c>
      <c r="F193">
        <f>IF(A193="","",SUMIFS(C$2:C193,A$2:A193,A193,B$2:B193,"&lt;="&amp;B193))</f>
        <v/>
      </c>
      <c r="G193">
        <f>IF(A193="","",SUMIFS(Transactions!$D:$D,Transactions!$B:$B,A193,Transactions!$C:$C,"Sell"))</f>
        <v/>
      </c>
      <c r="H193">
        <f>IF(A193="","",MAX(0,MIN(C193,G193-SUM(H$2:H192))))</f>
        <v/>
      </c>
      <c r="I193">
        <f>IF(C193="","",C193-H193)</f>
        <v/>
      </c>
      <c r="J193">
        <f>IF(I193="","",I193*D193)</f>
        <v/>
      </c>
    </row>
    <row r="194">
      <c r="A194">
        <f>IFERROR(INDEX(SORT(FILTER(Transactions!$B:$B,(Transactions!$C:$C="Buy")*(Transactions!$B:$B&lt;&gt;"")),1,1),193),"")</f>
        <v/>
      </c>
      <c r="B194">
        <f>IF(A194="","",INDEX(SORT(FILTER(Transactions!$A:$G,(Transactions!$C:$C="Buy")*(Transactions!$B:$B&lt;&gt;"")),2,1),193,1))</f>
        <v/>
      </c>
      <c r="C194">
        <f>IF(A194="","",INDEX(SORT(FILTER(Transactions!$A:$G,(Transactions!$C:$C="Buy")*(Transactions!$B:$B&lt;&gt;"")),2,1),193,4))</f>
        <v/>
      </c>
      <c r="D194">
        <f>IF(A194="","",INDEX(SORT(FILTER(Transactions!$A:$G,(Transactions!$C:$C="Buy")*(Transactions!$B:$B&lt;&gt;"")),2,1),193,5))</f>
        <v/>
      </c>
      <c r="E194">
        <f>IF(C194="","",C194*D194)</f>
        <v/>
      </c>
      <c r="F194">
        <f>IF(A194="","",SUMIFS(C$2:C194,A$2:A194,A194,B$2:B194,"&lt;="&amp;B194))</f>
        <v/>
      </c>
      <c r="G194">
        <f>IF(A194="","",SUMIFS(Transactions!$D:$D,Transactions!$B:$B,A194,Transactions!$C:$C,"Sell"))</f>
        <v/>
      </c>
      <c r="H194">
        <f>IF(A194="","",MAX(0,MIN(C194,G194-SUM(H$2:H193))))</f>
        <v/>
      </c>
      <c r="I194">
        <f>IF(C194="","",C194-H194)</f>
        <v/>
      </c>
      <c r="J194">
        <f>IF(I194="","",I194*D194)</f>
        <v/>
      </c>
    </row>
    <row r="195">
      <c r="A195">
        <f>IFERROR(INDEX(SORT(FILTER(Transactions!$B:$B,(Transactions!$C:$C="Buy")*(Transactions!$B:$B&lt;&gt;"")),1,1),194),"")</f>
        <v/>
      </c>
      <c r="B195">
        <f>IF(A195="","",INDEX(SORT(FILTER(Transactions!$A:$G,(Transactions!$C:$C="Buy")*(Transactions!$B:$B&lt;&gt;"")),2,1),194,1))</f>
        <v/>
      </c>
      <c r="C195">
        <f>IF(A195="","",INDEX(SORT(FILTER(Transactions!$A:$G,(Transactions!$C:$C="Buy")*(Transactions!$B:$B&lt;&gt;"")),2,1),194,4))</f>
        <v/>
      </c>
      <c r="D195">
        <f>IF(A195="","",INDEX(SORT(FILTER(Transactions!$A:$G,(Transactions!$C:$C="Buy")*(Transactions!$B:$B&lt;&gt;"")),2,1),194,5))</f>
        <v/>
      </c>
      <c r="E195">
        <f>IF(C195="","",C195*D195)</f>
        <v/>
      </c>
      <c r="F195">
        <f>IF(A195="","",SUMIFS(C$2:C195,A$2:A195,A195,B$2:B195,"&lt;="&amp;B195))</f>
        <v/>
      </c>
      <c r="G195">
        <f>IF(A195="","",SUMIFS(Transactions!$D:$D,Transactions!$B:$B,A195,Transactions!$C:$C,"Sell"))</f>
        <v/>
      </c>
      <c r="H195">
        <f>IF(A195="","",MAX(0,MIN(C195,G195-SUM(H$2:H194))))</f>
        <v/>
      </c>
      <c r="I195">
        <f>IF(C195="","",C195-H195)</f>
        <v/>
      </c>
      <c r="J195">
        <f>IF(I195="","",I195*D195)</f>
        <v/>
      </c>
    </row>
    <row r="196">
      <c r="A196">
        <f>IFERROR(INDEX(SORT(FILTER(Transactions!$B:$B,(Transactions!$C:$C="Buy")*(Transactions!$B:$B&lt;&gt;"")),1,1),195),"")</f>
        <v/>
      </c>
      <c r="B196">
        <f>IF(A196="","",INDEX(SORT(FILTER(Transactions!$A:$G,(Transactions!$C:$C="Buy")*(Transactions!$B:$B&lt;&gt;"")),2,1),195,1))</f>
        <v/>
      </c>
      <c r="C196">
        <f>IF(A196="","",INDEX(SORT(FILTER(Transactions!$A:$G,(Transactions!$C:$C="Buy")*(Transactions!$B:$B&lt;&gt;"")),2,1),195,4))</f>
        <v/>
      </c>
      <c r="D196">
        <f>IF(A196="","",INDEX(SORT(FILTER(Transactions!$A:$G,(Transactions!$C:$C="Buy")*(Transactions!$B:$B&lt;&gt;"")),2,1),195,5))</f>
        <v/>
      </c>
      <c r="E196">
        <f>IF(C196="","",C196*D196)</f>
        <v/>
      </c>
      <c r="F196">
        <f>IF(A196="","",SUMIFS(C$2:C196,A$2:A196,A196,B$2:B196,"&lt;="&amp;B196))</f>
        <v/>
      </c>
      <c r="G196">
        <f>IF(A196="","",SUMIFS(Transactions!$D:$D,Transactions!$B:$B,A196,Transactions!$C:$C,"Sell"))</f>
        <v/>
      </c>
      <c r="H196">
        <f>IF(A196="","",MAX(0,MIN(C196,G196-SUM(H$2:H195))))</f>
        <v/>
      </c>
      <c r="I196">
        <f>IF(C196="","",C196-H196)</f>
        <v/>
      </c>
      <c r="J196">
        <f>IF(I196="","",I196*D196)</f>
        <v/>
      </c>
    </row>
    <row r="197">
      <c r="A197">
        <f>IFERROR(INDEX(SORT(FILTER(Transactions!$B:$B,(Transactions!$C:$C="Buy")*(Transactions!$B:$B&lt;&gt;"")),1,1),196),"")</f>
        <v/>
      </c>
      <c r="B197">
        <f>IF(A197="","",INDEX(SORT(FILTER(Transactions!$A:$G,(Transactions!$C:$C="Buy")*(Transactions!$B:$B&lt;&gt;"")),2,1),196,1))</f>
        <v/>
      </c>
      <c r="C197">
        <f>IF(A197="","",INDEX(SORT(FILTER(Transactions!$A:$G,(Transactions!$C:$C="Buy")*(Transactions!$B:$B&lt;&gt;"")),2,1),196,4))</f>
        <v/>
      </c>
      <c r="D197">
        <f>IF(A197="","",INDEX(SORT(FILTER(Transactions!$A:$G,(Transactions!$C:$C="Buy")*(Transactions!$B:$B&lt;&gt;"")),2,1),196,5))</f>
        <v/>
      </c>
      <c r="E197">
        <f>IF(C197="","",C197*D197)</f>
        <v/>
      </c>
      <c r="F197">
        <f>IF(A197="","",SUMIFS(C$2:C197,A$2:A197,A197,B$2:B197,"&lt;="&amp;B197))</f>
        <v/>
      </c>
      <c r="G197">
        <f>IF(A197="","",SUMIFS(Transactions!$D:$D,Transactions!$B:$B,A197,Transactions!$C:$C,"Sell"))</f>
        <v/>
      </c>
      <c r="H197">
        <f>IF(A197="","",MAX(0,MIN(C197,G197-SUM(H$2:H196))))</f>
        <v/>
      </c>
      <c r="I197">
        <f>IF(C197="","",C197-H197)</f>
        <v/>
      </c>
      <c r="J197">
        <f>IF(I197="","",I197*D197)</f>
        <v/>
      </c>
    </row>
    <row r="198">
      <c r="A198">
        <f>IFERROR(INDEX(SORT(FILTER(Transactions!$B:$B,(Transactions!$C:$C="Buy")*(Transactions!$B:$B&lt;&gt;"")),1,1),197),"")</f>
        <v/>
      </c>
      <c r="B198">
        <f>IF(A198="","",INDEX(SORT(FILTER(Transactions!$A:$G,(Transactions!$C:$C="Buy")*(Transactions!$B:$B&lt;&gt;"")),2,1),197,1))</f>
        <v/>
      </c>
      <c r="C198">
        <f>IF(A198="","",INDEX(SORT(FILTER(Transactions!$A:$G,(Transactions!$C:$C="Buy")*(Transactions!$B:$B&lt;&gt;"")),2,1),197,4))</f>
        <v/>
      </c>
      <c r="D198">
        <f>IF(A198="","",INDEX(SORT(FILTER(Transactions!$A:$G,(Transactions!$C:$C="Buy")*(Transactions!$B:$B&lt;&gt;"")),2,1),197,5))</f>
        <v/>
      </c>
      <c r="E198">
        <f>IF(C198="","",C198*D198)</f>
        <v/>
      </c>
      <c r="F198">
        <f>IF(A198="","",SUMIFS(C$2:C198,A$2:A198,A198,B$2:B198,"&lt;="&amp;B198))</f>
        <v/>
      </c>
      <c r="G198">
        <f>IF(A198="","",SUMIFS(Transactions!$D:$D,Transactions!$B:$B,A198,Transactions!$C:$C,"Sell"))</f>
        <v/>
      </c>
      <c r="H198">
        <f>IF(A198="","",MAX(0,MIN(C198,G198-SUM(H$2:H197))))</f>
        <v/>
      </c>
      <c r="I198">
        <f>IF(C198="","",C198-H198)</f>
        <v/>
      </c>
      <c r="J198">
        <f>IF(I198="","",I198*D198)</f>
        <v/>
      </c>
    </row>
    <row r="199">
      <c r="A199">
        <f>IFERROR(INDEX(SORT(FILTER(Transactions!$B:$B,(Transactions!$C:$C="Buy")*(Transactions!$B:$B&lt;&gt;"")),1,1),198),"")</f>
        <v/>
      </c>
      <c r="B199">
        <f>IF(A199="","",INDEX(SORT(FILTER(Transactions!$A:$G,(Transactions!$C:$C="Buy")*(Transactions!$B:$B&lt;&gt;"")),2,1),198,1))</f>
        <v/>
      </c>
      <c r="C199">
        <f>IF(A199="","",INDEX(SORT(FILTER(Transactions!$A:$G,(Transactions!$C:$C="Buy")*(Transactions!$B:$B&lt;&gt;"")),2,1),198,4))</f>
        <v/>
      </c>
      <c r="D199">
        <f>IF(A199="","",INDEX(SORT(FILTER(Transactions!$A:$G,(Transactions!$C:$C="Buy")*(Transactions!$B:$B&lt;&gt;"")),2,1),198,5))</f>
        <v/>
      </c>
      <c r="E199">
        <f>IF(C199="","",C199*D199)</f>
        <v/>
      </c>
      <c r="F199">
        <f>IF(A199="","",SUMIFS(C$2:C199,A$2:A199,A199,B$2:B199,"&lt;="&amp;B199))</f>
        <v/>
      </c>
      <c r="G199">
        <f>IF(A199="","",SUMIFS(Transactions!$D:$D,Transactions!$B:$B,A199,Transactions!$C:$C,"Sell"))</f>
        <v/>
      </c>
      <c r="H199">
        <f>IF(A199="","",MAX(0,MIN(C199,G199-SUM(H$2:H198))))</f>
        <v/>
      </c>
      <c r="I199">
        <f>IF(C199="","",C199-H199)</f>
        <v/>
      </c>
      <c r="J199">
        <f>IF(I199="","",I199*D199)</f>
        <v/>
      </c>
    </row>
    <row r="200">
      <c r="A200">
        <f>IFERROR(INDEX(SORT(FILTER(Transactions!$B:$B,(Transactions!$C:$C="Buy")*(Transactions!$B:$B&lt;&gt;"")),1,1),199),"")</f>
        <v/>
      </c>
      <c r="B200">
        <f>IF(A200="","",INDEX(SORT(FILTER(Transactions!$A:$G,(Transactions!$C:$C="Buy")*(Transactions!$B:$B&lt;&gt;"")),2,1),199,1))</f>
        <v/>
      </c>
      <c r="C200">
        <f>IF(A200="","",INDEX(SORT(FILTER(Transactions!$A:$G,(Transactions!$C:$C="Buy")*(Transactions!$B:$B&lt;&gt;"")),2,1),199,4))</f>
        <v/>
      </c>
      <c r="D200">
        <f>IF(A200="","",INDEX(SORT(FILTER(Transactions!$A:$G,(Transactions!$C:$C="Buy")*(Transactions!$B:$B&lt;&gt;"")),2,1),199,5))</f>
        <v/>
      </c>
      <c r="E200">
        <f>IF(C200="","",C200*D200)</f>
        <v/>
      </c>
      <c r="F200">
        <f>IF(A200="","",SUMIFS(C$2:C200,A$2:A200,A200,B$2:B200,"&lt;="&amp;B200))</f>
        <v/>
      </c>
      <c r="G200">
        <f>IF(A200="","",SUMIFS(Transactions!$D:$D,Transactions!$B:$B,A200,Transactions!$C:$C,"Sell"))</f>
        <v/>
      </c>
      <c r="H200">
        <f>IF(A200="","",MAX(0,MIN(C200,G200-SUM(H$2:H199))))</f>
        <v/>
      </c>
      <c r="I200">
        <f>IF(C200="","",C200-H200)</f>
        <v/>
      </c>
      <c r="J200">
        <f>IF(I200="","",I200*D200)</f>
        <v/>
      </c>
    </row>
    <row r="201">
      <c r="A201">
        <f>IFERROR(INDEX(SORT(FILTER(Transactions!$B:$B,(Transactions!$C:$C="Buy")*(Transactions!$B:$B&lt;&gt;"")),1,1),200),"")</f>
        <v/>
      </c>
      <c r="B201">
        <f>IF(A201="","",INDEX(SORT(FILTER(Transactions!$A:$G,(Transactions!$C:$C="Buy")*(Transactions!$B:$B&lt;&gt;"")),2,1),200,1))</f>
        <v/>
      </c>
      <c r="C201">
        <f>IF(A201="","",INDEX(SORT(FILTER(Transactions!$A:$G,(Transactions!$C:$C="Buy")*(Transactions!$B:$B&lt;&gt;"")),2,1),200,4))</f>
        <v/>
      </c>
      <c r="D201">
        <f>IF(A201="","",INDEX(SORT(FILTER(Transactions!$A:$G,(Transactions!$C:$C="Buy")*(Transactions!$B:$B&lt;&gt;"")),2,1),200,5))</f>
        <v/>
      </c>
      <c r="E201">
        <f>IF(C201="","",C201*D201)</f>
        <v/>
      </c>
      <c r="F201">
        <f>IF(A201="","",SUMIFS(C$2:C201,A$2:A201,A201,B$2:B201,"&lt;="&amp;B201))</f>
        <v/>
      </c>
      <c r="G201">
        <f>IF(A201="","",SUMIFS(Transactions!$D:$D,Transactions!$B:$B,A201,Transactions!$C:$C,"Sell"))</f>
        <v/>
      </c>
      <c r="H201">
        <f>IF(A201="","",MAX(0,MIN(C201,G201-SUM(H$2:H200))))</f>
        <v/>
      </c>
      <c r="I201">
        <f>IF(C201="","",C201-H201)</f>
        <v/>
      </c>
      <c r="J201">
        <f>IF(I201="","",I201*D201)</f>
        <v/>
      </c>
    </row>
    <row r="202">
      <c r="A202">
        <f>IFERROR(INDEX(SORT(FILTER(Transactions!$B:$B,(Transactions!$C:$C="Buy")*(Transactions!$B:$B&lt;&gt;"")),1,1),201),"")</f>
        <v/>
      </c>
      <c r="B202">
        <f>IF(A202="","",INDEX(SORT(FILTER(Transactions!$A:$G,(Transactions!$C:$C="Buy")*(Transactions!$B:$B&lt;&gt;"")),2,1),201,1))</f>
        <v/>
      </c>
      <c r="C202">
        <f>IF(A202="","",INDEX(SORT(FILTER(Transactions!$A:$G,(Transactions!$C:$C="Buy")*(Transactions!$B:$B&lt;&gt;"")),2,1),201,4))</f>
        <v/>
      </c>
      <c r="D202">
        <f>IF(A202="","",INDEX(SORT(FILTER(Transactions!$A:$G,(Transactions!$C:$C="Buy")*(Transactions!$B:$B&lt;&gt;"")),2,1),201,5))</f>
        <v/>
      </c>
      <c r="E202">
        <f>IF(C202="","",C202*D202)</f>
        <v/>
      </c>
      <c r="F202">
        <f>IF(A202="","",SUMIFS(C$2:C202,A$2:A202,A202,B$2:B202,"&lt;="&amp;B202))</f>
        <v/>
      </c>
      <c r="G202">
        <f>IF(A202="","",SUMIFS(Transactions!$D:$D,Transactions!$B:$B,A202,Transactions!$C:$C,"Sell"))</f>
        <v/>
      </c>
      <c r="H202">
        <f>IF(A202="","",MAX(0,MIN(C202,G202-SUM(H$2:H201))))</f>
        <v/>
      </c>
      <c r="I202">
        <f>IF(C202="","",C202-H202)</f>
        <v/>
      </c>
      <c r="J202">
        <f>IF(I202="","",I202*D202)</f>
        <v/>
      </c>
    </row>
    <row r="203">
      <c r="A203">
        <f>IFERROR(INDEX(SORT(FILTER(Transactions!$B:$B,(Transactions!$C:$C="Buy")*(Transactions!$B:$B&lt;&gt;"")),1,1),202),"")</f>
        <v/>
      </c>
      <c r="B203">
        <f>IF(A203="","",INDEX(SORT(FILTER(Transactions!$A:$G,(Transactions!$C:$C="Buy")*(Transactions!$B:$B&lt;&gt;"")),2,1),202,1))</f>
        <v/>
      </c>
      <c r="C203">
        <f>IF(A203="","",INDEX(SORT(FILTER(Transactions!$A:$G,(Transactions!$C:$C="Buy")*(Transactions!$B:$B&lt;&gt;"")),2,1),202,4))</f>
        <v/>
      </c>
      <c r="D203">
        <f>IF(A203="","",INDEX(SORT(FILTER(Transactions!$A:$G,(Transactions!$C:$C="Buy")*(Transactions!$B:$B&lt;&gt;"")),2,1),202,5))</f>
        <v/>
      </c>
      <c r="E203">
        <f>IF(C203="","",C203*D203)</f>
        <v/>
      </c>
      <c r="F203">
        <f>IF(A203="","",SUMIFS(C$2:C203,A$2:A203,A203,B$2:B203,"&lt;="&amp;B203))</f>
        <v/>
      </c>
      <c r="G203">
        <f>IF(A203="","",SUMIFS(Transactions!$D:$D,Transactions!$B:$B,A203,Transactions!$C:$C,"Sell"))</f>
        <v/>
      </c>
      <c r="H203">
        <f>IF(A203="","",MAX(0,MIN(C203,G203-SUM(H$2:H202))))</f>
        <v/>
      </c>
      <c r="I203">
        <f>IF(C203="","",C203-H203)</f>
        <v/>
      </c>
      <c r="J203">
        <f>IF(I203="","",I203*D203)</f>
        <v/>
      </c>
    </row>
    <row r="204">
      <c r="A204">
        <f>IFERROR(INDEX(SORT(FILTER(Transactions!$B:$B,(Transactions!$C:$C="Buy")*(Transactions!$B:$B&lt;&gt;"")),1,1),203),"")</f>
        <v/>
      </c>
      <c r="B204">
        <f>IF(A204="","",INDEX(SORT(FILTER(Transactions!$A:$G,(Transactions!$C:$C="Buy")*(Transactions!$B:$B&lt;&gt;"")),2,1),203,1))</f>
        <v/>
      </c>
      <c r="C204">
        <f>IF(A204="","",INDEX(SORT(FILTER(Transactions!$A:$G,(Transactions!$C:$C="Buy")*(Transactions!$B:$B&lt;&gt;"")),2,1),203,4))</f>
        <v/>
      </c>
      <c r="D204">
        <f>IF(A204="","",INDEX(SORT(FILTER(Transactions!$A:$G,(Transactions!$C:$C="Buy")*(Transactions!$B:$B&lt;&gt;"")),2,1),203,5))</f>
        <v/>
      </c>
      <c r="E204">
        <f>IF(C204="","",C204*D204)</f>
        <v/>
      </c>
      <c r="F204">
        <f>IF(A204="","",SUMIFS(C$2:C204,A$2:A204,A204,B$2:B204,"&lt;="&amp;B204))</f>
        <v/>
      </c>
      <c r="G204">
        <f>IF(A204="","",SUMIFS(Transactions!$D:$D,Transactions!$B:$B,A204,Transactions!$C:$C,"Sell"))</f>
        <v/>
      </c>
      <c r="H204">
        <f>IF(A204="","",MAX(0,MIN(C204,G204-SUM(H$2:H203))))</f>
        <v/>
      </c>
      <c r="I204">
        <f>IF(C204="","",C204-H204)</f>
        <v/>
      </c>
      <c r="J204">
        <f>IF(I204="","",I204*D204)</f>
        <v/>
      </c>
    </row>
    <row r="205">
      <c r="A205">
        <f>IFERROR(INDEX(SORT(FILTER(Transactions!$B:$B,(Transactions!$C:$C="Buy")*(Transactions!$B:$B&lt;&gt;"")),1,1),204),"")</f>
        <v/>
      </c>
      <c r="B205">
        <f>IF(A205="","",INDEX(SORT(FILTER(Transactions!$A:$G,(Transactions!$C:$C="Buy")*(Transactions!$B:$B&lt;&gt;"")),2,1),204,1))</f>
        <v/>
      </c>
      <c r="C205">
        <f>IF(A205="","",INDEX(SORT(FILTER(Transactions!$A:$G,(Transactions!$C:$C="Buy")*(Transactions!$B:$B&lt;&gt;"")),2,1),204,4))</f>
        <v/>
      </c>
      <c r="D205">
        <f>IF(A205="","",INDEX(SORT(FILTER(Transactions!$A:$G,(Transactions!$C:$C="Buy")*(Transactions!$B:$B&lt;&gt;"")),2,1),204,5))</f>
        <v/>
      </c>
      <c r="E205">
        <f>IF(C205="","",C205*D205)</f>
        <v/>
      </c>
      <c r="F205">
        <f>IF(A205="","",SUMIFS(C$2:C205,A$2:A205,A205,B$2:B205,"&lt;="&amp;B205))</f>
        <v/>
      </c>
      <c r="G205">
        <f>IF(A205="","",SUMIFS(Transactions!$D:$D,Transactions!$B:$B,A205,Transactions!$C:$C,"Sell"))</f>
        <v/>
      </c>
      <c r="H205">
        <f>IF(A205="","",MAX(0,MIN(C205,G205-SUM(H$2:H204))))</f>
        <v/>
      </c>
      <c r="I205">
        <f>IF(C205="","",C205-H205)</f>
        <v/>
      </c>
      <c r="J205">
        <f>IF(I205="","",I205*D205)</f>
        <v/>
      </c>
    </row>
    <row r="206">
      <c r="A206">
        <f>IFERROR(INDEX(SORT(FILTER(Transactions!$B:$B,(Transactions!$C:$C="Buy")*(Transactions!$B:$B&lt;&gt;"")),1,1),205),"")</f>
        <v/>
      </c>
      <c r="B206">
        <f>IF(A206="","",INDEX(SORT(FILTER(Transactions!$A:$G,(Transactions!$C:$C="Buy")*(Transactions!$B:$B&lt;&gt;"")),2,1),205,1))</f>
        <v/>
      </c>
      <c r="C206">
        <f>IF(A206="","",INDEX(SORT(FILTER(Transactions!$A:$G,(Transactions!$C:$C="Buy")*(Transactions!$B:$B&lt;&gt;"")),2,1),205,4))</f>
        <v/>
      </c>
      <c r="D206">
        <f>IF(A206="","",INDEX(SORT(FILTER(Transactions!$A:$G,(Transactions!$C:$C="Buy")*(Transactions!$B:$B&lt;&gt;"")),2,1),205,5))</f>
        <v/>
      </c>
      <c r="E206">
        <f>IF(C206="","",C206*D206)</f>
        <v/>
      </c>
      <c r="F206">
        <f>IF(A206="","",SUMIFS(C$2:C206,A$2:A206,A206,B$2:B206,"&lt;="&amp;B206))</f>
        <v/>
      </c>
      <c r="G206">
        <f>IF(A206="","",SUMIFS(Transactions!$D:$D,Transactions!$B:$B,A206,Transactions!$C:$C,"Sell"))</f>
        <v/>
      </c>
      <c r="H206">
        <f>IF(A206="","",MAX(0,MIN(C206,G206-SUM(H$2:H205))))</f>
        <v/>
      </c>
      <c r="I206">
        <f>IF(C206="","",C206-H206)</f>
        <v/>
      </c>
      <c r="J206">
        <f>IF(I206="","",I206*D206)</f>
        <v/>
      </c>
    </row>
    <row r="207">
      <c r="A207">
        <f>IFERROR(INDEX(SORT(FILTER(Transactions!$B:$B,(Transactions!$C:$C="Buy")*(Transactions!$B:$B&lt;&gt;"")),1,1),206),"")</f>
        <v/>
      </c>
      <c r="B207">
        <f>IF(A207="","",INDEX(SORT(FILTER(Transactions!$A:$G,(Transactions!$C:$C="Buy")*(Transactions!$B:$B&lt;&gt;"")),2,1),206,1))</f>
        <v/>
      </c>
      <c r="C207">
        <f>IF(A207="","",INDEX(SORT(FILTER(Transactions!$A:$G,(Transactions!$C:$C="Buy")*(Transactions!$B:$B&lt;&gt;"")),2,1),206,4))</f>
        <v/>
      </c>
      <c r="D207">
        <f>IF(A207="","",INDEX(SORT(FILTER(Transactions!$A:$G,(Transactions!$C:$C="Buy")*(Transactions!$B:$B&lt;&gt;"")),2,1),206,5))</f>
        <v/>
      </c>
      <c r="E207">
        <f>IF(C207="","",C207*D207)</f>
        <v/>
      </c>
      <c r="F207">
        <f>IF(A207="","",SUMIFS(C$2:C207,A$2:A207,A207,B$2:B207,"&lt;="&amp;B207))</f>
        <v/>
      </c>
      <c r="G207">
        <f>IF(A207="","",SUMIFS(Transactions!$D:$D,Transactions!$B:$B,A207,Transactions!$C:$C,"Sell"))</f>
        <v/>
      </c>
      <c r="H207">
        <f>IF(A207="","",MAX(0,MIN(C207,G207-SUM(H$2:H206))))</f>
        <v/>
      </c>
      <c r="I207">
        <f>IF(C207="","",C207-H207)</f>
        <v/>
      </c>
      <c r="J207">
        <f>IF(I207="","",I207*D207)</f>
        <v/>
      </c>
    </row>
    <row r="208">
      <c r="A208">
        <f>IFERROR(INDEX(SORT(FILTER(Transactions!$B:$B,(Transactions!$C:$C="Buy")*(Transactions!$B:$B&lt;&gt;"")),1,1),207),"")</f>
        <v/>
      </c>
      <c r="B208">
        <f>IF(A208="","",INDEX(SORT(FILTER(Transactions!$A:$G,(Transactions!$C:$C="Buy")*(Transactions!$B:$B&lt;&gt;"")),2,1),207,1))</f>
        <v/>
      </c>
      <c r="C208">
        <f>IF(A208="","",INDEX(SORT(FILTER(Transactions!$A:$G,(Transactions!$C:$C="Buy")*(Transactions!$B:$B&lt;&gt;"")),2,1),207,4))</f>
        <v/>
      </c>
      <c r="D208">
        <f>IF(A208="","",INDEX(SORT(FILTER(Transactions!$A:$G,(Transactions!$C:$C="Buy")*(Transactions!$B:$B&lt;&gt;"")),2,1),207,5))</f>
        <v/>
      </c>
      <c r="E208">
        <f>IF(C208="","",C208*D208)</f>
        <v/>
      </c>
      <c r="F208">
        <f>IF(A208="","",SUMIFS(C$2:C208,A$2:A208,A208,B$2:B208,"&lt;="&amp;B208))</f>
        <v/>
      </c>
      <c r="G208">
        <f>IF(A208="","",SUMIFS(Transactions!$D:$D,Transactions!$B:$B,A208,Transactions!$C:$C,"Sell"))</f>
        <v/>
      </c>
      <c r="H208">
        <f>IF(A208="","",MAX(0,MIN(C208,G208-SUM(H$2:H207))))</f>
        <v/>
      </c>
      <c r="I208">
        <f>IF(C208="","",C208-H208)</f>
        <v/>
      </c>
      <c r="J208">
        <f>IF(I208="","",I208*D208)</f>
        <v/>
      </c>
    </row>
    <row r="209">
      <c r="A209">
        <f>IFERROR(INDEX(SORT(FILTER(Transactions!$B:$B,(Transactions!$C:$C="Buy")*(Transactions!$B:$B&lt;&gt;"")),1,1),208),"")</f>
        <v/>
      </c>
      <c r="B209">
        <f>IF(A209="","",INDEX(SORT(FILTER(Transactions!$A:$G,(Transactions!$C:$C="Buy")*(Transactions!$B:$B&lt;&gt;"")),2,1),208,1))</f>
        <v/>
      </c>
      <c r="C209">
        <f>IF(A209="","",INDEX(SORT(FILTER(Transactions!$A:$G,(Transactions!$C:$C="Buy")*(Transactions!$B:$B&lt;&gt;"")),2,1),208,4))</f>
        <v/>
      </c>
      <c r="D209">
        <f>IF(A209="","",INDEX(SORT(FILTER(Transactions!$A:$G,(Transactions!$C:$C="Buy")*(Transactions!$B:$B&lt;&gt;"")),2,1),208,5))</f>
        <v/>
      </c>
      <c r="E209">
        <f>IF(C209="","",C209*D209)</f>
        <v/>
      </c>
      <c r="F209">
        <f>IF(A209="","",SUMIFS(C$2:C209,A$2:A209,A209,B$2:B209,"&lt;="&amp;B209))</f>
        <v/>
      </c>
      <c r="G209">
        <f>IF(A209="","",SUMIFS(Transactions!$D:$D,Transactions!$B:$B,A209,Transactions!$C:$C,"Sell"))</f>
        <v/>
      </c>
      <c r="H209">
        <f>IF(A209="","",MAX(0,MIN(C209,G209-SUM(H$2:H208))))</f>
        <v/>
      </c>
      <c r="I209">
        <f>IF(C209="","",C209-H209)</f>
        <v/>
      </c>
      <c r="J209">
        <f>IF(I209="","",I209*D209)</f>
        <v/>
      </c>
    </row>
    <row r="210">
      <c r="A210">
        <f>IFERROR(INDEX(SORT(FILTER(Transactions!$B:$B,(Transactions!$C:$C="Buy")*(Transactions!$B:$B&lt;&gt;"")),1,1),209),"")</f>
        <v/>
      </c>
      <c r="B210">
        <f>IF(A210="","",INDEX(SORT(FILTER(Transactions!$A:$G,(Transactions!$C:$C="Buy")*(Transactions!$B:$B&lt;&gt;"")),2,1),209,1))</f>
        <v/>
      </c>
      <c r="C210">
        <f>IF(A210="","",INDEX(SORT(FILTER(Transactions!$A:$G,(Transactions!$C:$C="Buy")*(Transactions!$B:$B&lt;&gt;"")),2,1),209,4))</f>
        <v/>
      </c>
      <c r="D210">
        <f>IF(A210="","",INDEX(SORT(FILTER(Transactions!$A:$G,(Transactions!$C:$C="Buy")*(Transactions!$B:$B&lt;&gt;"")),2,1),209,5))</f>
        <v/>
      </c>
      <c r="E210">
        <f>IF(C210="","",C210*D210)</f>
        <v/>
      </c>
      <c r="F210">
        <f>IF(A210="","",SUMIFS(C$2:C210,A$2:A210,A210,B$2:B210,"&lt;="&amp;B210))</f>
        <v/>
      </c>
      <c r="G210">
        <f>IF(A210="","",SUMIFS(Transactions!$D:$D,Transactions!$B:$B,A210,Transactions!$C:$C,"Sell"))</f>
        <v/>
      </c>
      <c r="H210">
        <f>IF(A210="","",MAX(0,MIN(C210,G210-SUM(H$2:H209))))</f>
        <v/>
      </c>
      <c r="I210">
        <f>IF(C210="","",C210-H210)</f>
        <v/>
      </c>
      <c r="J210">
        <f>IF(I210="","",I210*D210)</f>
        <v/>
      </c>
    </row>
    <row r="211">
      <c r="A211">
        <f>IFERROR(INDEX(SORT(FILTER(Transactions!$B:$B,(Transactions!$C:$C="Buy")*(Transactions!$B:$B&lt;&gt;"")),1,1),210),"")</f>
        <v/>
      </c>
      <c r="B211">
        <f>IF(A211="","",INDEX(SORT(FILTER(Transactions!$A:$G,(Transactions!$C:$C="Buy")*(Transactions!$B:$B&lt;&gt;"")),2,1),210,1))</f>
        <v/>
      </c>
      <c r="C211">
        <f>IF(A211="","",INDEX(SORT(FILTER(Transactions!$A:$G,(Transactions!$C:$C="Buy")*(Transactions!$B:$B&lt;&gt;"")),2,1),210,4))</f>
        <v/>
      </c>
      <c r="D211">
        <f>IF(A211="","",INDEX(SORT(FILTER(Transactions!$A:$G,(Transactions!$C:$C="Buy")*(Transactions!$B:$B&lt;&gt;"")),2,1),210,5))</f>
        <v/>
      </c>
      <c r="E211">
        <f>IF(C211="","",C211*D211)</f>
        <v/>
      </c>
      <c r="F211">
        <f>IF(A211="","",SUMIFS(C$2:C211,A$2:A211,A211,B$2:B211,"&lt;="&amp;B211))</f>
        <v/>
      </c>
      <c r="G211">
        <f>IF(A211="","",SUMIFS(Transactions!$D:$D,Transactions!$B:$B,A211,Transactions!$C:$C,"Sell"))</f>
        <v/>
      </c>
      <c r="H211">
        <f>IF(A211="","",MAX(0,MIN(C211,G211-SUM(H$2:H210))))</f>
        <v/>
      </c>
      <c r="I211">
        <f>IF(C211="","",C211-H211)</f>
        <v/>
      </c>
      <c r="J211">
        <f>IF(I211="","",I211*D211)</f>
        <v/>
      </c>
    </row>
    <row r="212">
      <c r="A212">
        <f>IFERROR(INDEX(SORT(FILTER(Transactions!$B:$B,(Transactions!$C:$C="Buy")*(Transactions!$B:$B&lt;&gt;"")),1,1),211),"")</f>
        <v/>
      </c>
      <c r="B212">
        <f>IF(A212="","",INDEX(SORT(FILTER(Transactions!$A:$G,(Transactions!$C:$C="Buy")*(Transactions!$B:$B&lt;&gt;"")),2,1),211,1))</f>
        <v/>
      </c>
      <c r="C212">
        <f>IF(A212="","",INDEX(SORT(FILTER(Transactions!$A:$G,(Transactions!$C:$C="Buy")*(Transactions!$B:$B&lt;&gt;"")),2,1),211,4))</f>
        <v/>
      </c>
      <c r="D212">
        <f>IF(A212="","",INDEX(SORT(FILTER(Transactions!$A:$G,(Transactions!$C:$C="Buy")*(Transactions!$B:$B&lt;&gt;"")),2,1),211,5))</f>
        <v/>
      </c>
      <c r="E212">
        <f>IF(C212="","",C212*D212)</f>
        <v/>
      </c>
      <c r="F212">
        <f>IF(A212="","",SUMIFS(C$2:C212,A$2:A212,A212,B$2:B212,"&lt;="&amp;B212))</f>
        <v/>
      </c>
      <c r="G212">
        <f>IF(A212="","",SUMIFS(Transactions!$D:$D,Transactions!$B:$B,A212,Transactions!$C:$C,"Sell"))</f>
        <v/>
      </c>
      <c r="H212">
        <f>IF(A212="","",MAX(0,MIN(C212,G212-SUM(H$2:H211))))</f>
        <v/>
      </c>
      <c r="I212">
        <f>IF(C212="","",C212-H212)</f>
        <v/>
      </c>
      <c r="J212">
        <f>IF(I212="","",I212*D212)</f>
        <v/>
      </c>
    </row>
    <row r="213">
      <c r="A213">
        <f>IFERROR(INDEX(SORT(FILTER(Transactions!$B:$B,(Transactions!$C:$C="Buy")*(Transactions!$B:$B&lt;&gt;"")),1,1),212),"")</f>
        <v/>
      </c>
      <c r="B213">
        <f>IF(A213="","",INDEX(SORT(FILTER(Transactions!$A:$G,(Transactions!$C:$C="Buy")*(Transactions!$B:$B&lt;&gt;"")),2,1),212,1))</f>
        <v/>
      </c>
      <c r="C213">
        <f>IF(A213="","",INDEX(SORT(FILTER(Transactions!$A:$G,(Transactions!$C:$C="Buy")*(Transactions!$B:$B&lt;&gt;"")),2,1),212,4))</f>
        <v/>
      </c>
      <c r="D213">
        <f>IF(A213="","",INDEX(SORT(FILTER(Transactions!$A:$G,(Transactions!$C:$C="Buy")*(Transactions!$B:$B&lt;&gt;"")),2,1),212,5))</f>
        <v/>
      </c>
      <c r="E213">
        <f>IF(C213="","",C213*D213)</f>
        <v/>
      </c>
      <c r="F213">
        <f>IF(A213="","",SUMIFS(C$2:C213,A$2:A213,A213,B$2:B213,"&lt;="&amp;B213))</f>
        <v/>
      </c>
      <c r="G213">
        <f>IF(A213="","",SUMIFS(Transactions!$D:$D,Transactions!$B:$B,A213,Transactions!$C:$C,"Sell"))</f>
        <v/>
      </c>
      <c r="H213">
        <f>IF(A213="","",MAX(0,MIN(C213,G213-SUM(H$2:H212))))</f>
        <v/>
      </c>
      <c r="I213">
        <f>IF(C213="","",C213-H213)</f>
        <v/>
      </c>
      <c r="J213">
        <f>IF(I213="","",I213*D213)</f>
        <v/>
      </c>
    </row>
    <row r="214">
      <c r="A214">
        <f>IFERROR(INDEX(SORT(FILTER(Transactions!$B:$B,(Transactions!$C:$C="Buy")*(Transactions!$B:$B&lt;&gt;"")),1,1),213),"")</f>
        <v/>
      </c>
      <c r="B214">
        <f>IF(A214="","",INDEX(SORT(FILTER(Transactions!$A:$G,(Transactions!$C:$C="Buy")*(Transactions!$B:$B&lt;&gt;"")),2,1),213,1))</f>
        <v/>
      </c>
      <c r="C214">
        <f>IF(A214="","",INDEX(SORT(FILTER(Transactions!$A:$G,(Transactions!$C:$C="Buy")*(Transactions!$B:$B&lt;&gt;"")),2,1),213,4))</f>
        <v/>
      </c>
      <c r="D214">
        <f>IF(A214="","",INDEX(SORT(FILTER(Transactions!$A:$G,(Transactions!$C:$C="Buy")*(Transactions!$B:$B&lt;&gt;"")),2,1),213,5))</f>
        <v/>
      </c>
      <c r="E214">
        <f>IF(C214="","",C214*D214)</f>
        <v/>
      </c>
      <c r="F214">
        <f>IF(A214="","",SUMIFS(C$2:C214,A$2:A214,A214,B$2:B214,"&lt;="&amp;B214))</f>
        <v/>
      </c>
      <c r="G214">
        <f>IF(A214="","",SUMIFS(Transactions!$D:$D,Transactions!$B:$B,A214,Transactions!$C:$C,"Sell"))</f>
        <v/>
      </c>
      <c r="H214">
        <f>IF(A214="","",MAX(0,MIN(C214,G214-SUM(H$2:H213))))</f>
        <v/>
      </c>
      <c r="I214">
        <f>IF(C214="","",C214-H214)</f>
        <v/>
      </c>
      <c r="J214">
        <f>IF(I214="","",I214*D214)</f>
        <v/>
      </c>
    </row>
    <row r="215">
      <c r="A215">
        <f>IFERROR(INDEX(SORT(FILTER(Transactions!$B:$B,(Transactions!$C:$C="Buy")*(Transactions!$B:$B&lt;&gt;"")),1,1),214),"")</f>
        <v/>
      </c>
      <c r="B215">
        <f>IF(A215="","",INDEX(SORT(FILTER(Transactions!$A:$G,(Transactions!$C:$C="Buy")*(Transactions!$B:$B&lt;&gt;"")),2,1),214,1))</f>
        <v/>
      </c>
      <c r="C215">
        <f>IF(A215="","",INDEX(SORT(FILTER(Transactions!$A:$G,(Transactions!$C:$C="Buy")*(Transactions!$B:$B&lt;&gt;"")),2,1),214,4))</f>
        <v/>
      </c>
      <c r="D215">
        <f>IF(A215="","",INDEX(SORT(FILTER(Transactions!$A:$G,(Transactions!$C:$C="Buy")*(Transactions!$B:$B&lt;&gt;"")),2,1),214,5))</f>
        <v/>
      </c>
      <c r="E215">
        <f>IF(C215="","",C215*D215)</f>
        <v/>
      </c>
      <c r="F215">
        <f>IF(A215="","",SUMIFS(C$2:C215,A$2:A215,A215,B$2:B215,"&lt;="&amp;B215))</f>
        <v/>
      </c>
      <c r="G215">
        <f>IF(A215="","",SUMIFS(Transactions!$D:$D,Transactions!$B:$B,A215,Transactions!$C:$C,"Sell"))</f>
        <v/>
      </c>
      <c r="H215">
        <f>IF(A215="","",MAX(0,MIN(C215,G215-SUM(H$2:H214))))</f>
        <v/>
      </c>
      <c r="I215">
        <f>IF(C215="","",C215-H215)</f>
        <v/>
      </c>
      <c r="J215">
        <f>IF(I215="","",I215*D215)</f>
        <v/>
      </c>
    </row>
    <row r="216">
      <c r="A216">
        <f>IFERROR(INDEX(SORT(FILTER(Transactions!$B:$B,(Transactions!$C:$C="Buy")*(Transactions!$B:$B&lt;&gt;"")),1,1),215),"")</f>
        <v/>
      </c>
      <c r="B216">
        <f>IF(A216="","",INDEX(SORT(FILTER(Transactions!$A:$G,(Transactions!$C:$C="Buy")*(Transactions!$B:$B&lt;&gt;"")),2,1),215,1))</f>
        <v/>
      </c>
      <c r="C216">
        <f>IF(A216="","",INDEX(SORT(FILTER(Transactions!$A:$G,(Transactions!$C:$C="Buy")*(Transactions!$B:$B&lt;&gt;"")),2,1),215,4))</f>
        <v/>
      </c>
      <c r="D216">
        <f>IF(A216="","",INDEX(SORT(FILTER(Transactions!$A:$G,(Transactions!$C:$C="Buy")*(Transactions!$B:$B&lt;&gt;"")),2,1),215,5))</f>
        <v/>
      </c>
      <c r="E216">
        <f>IF(C216="","",C216*D216)</f>
        <v/>
      </c>
      <c r="F216">
        <f>IF(A216="","",SUMIFS(C$2:C216,A$2:A216,A216,B$2:B216,"&lt;="&amp;B216))</f>
        <v/>
      </c>
      <c r="G216">
        <f>IF(A216="","",SUMIFS(Transactions!$D:$D,Transactions!$B:$B,A216,Transactions!$C:$C,"Sell"))</f>
        <v/>
      </c>
      <c r="H216">
        <f>IF(A216="","",MAX(0,MIN(C216,G216-SUM(H$2:H215))))</f>
        <v/>
      </c>
      <c r="I216">
        <f>IF(C216="","",C216-H216)</f>
        <v/>
      </c>
      <c r="J216">
        <f>IF(I216="","",I216*D216)</f>
        <v/>
      </c>
    </row>
    <row r="217">
      <c r="A217">
        <f>IFERROR(INDEX(SORT(FILTER(Transactions!$B:$B,(Transactions!$C:$C="Buy")*(Transactions!$B:$B&lt;&gt;"")),1,1),216),"")</f>
        <v/>
      </c>
      <c r="B217">
        <f>IF(A217="","",INDEX(SORT(FILTER(Transactions!$A:$G,(Transactions!$C:$C="Buy")*(Transactions!$B:$B&lt;&gt;"")),2,1),216,1))</f>
        <v/>
      </c>
      <c r="C217">
        <f>IF(A217="","",INDEX(SORT(FILTER(Transactions!$A:$G,(Transactions!$C:$C="Buy")*(Transactions!$B:$B&lt;&gt;"")),2,1),216,4))</f>
        <v/>
      </c>
      <c r="D217">
        <f>IF(A217="","",INDEX(SORT(FILTER(Transactions!$A:$G,(Transactions!$C:$C="Buy")*(Transactions!$B:$B&lt;&gt;"")),2,1),216,5))</f>
        <v/>
      </c>
      <c r="E217">
        <f>IF(C217="","",C217*D217)</f>
        <v/>
      </c>
      <c r="F217">
        <f>IF(A217="","",SUMIFS(C$2:C217,A$2:A217,A217,B$2:B217,"&lt;="&amp;B217))</f>
        <v/>
      </c>
      <c r="G217">
        <f>IF(A217="","",SUMIFS(Transactions!$D:$D,Transactions!$B:$B,A217,Transactions!$C:$C,"Sell"))</f>
        <v/>
      </c>
      <c r="H217">
        <f>IF(A217="","",MAX(0,MIN(C217,G217-SUM(H$2:H216))))</f>
        <v/>
      </c>
      <c r="I217">
        <f>IF(C217="","",C217-H217)</f>
        <v/>
      </c>
      <c r="J217">
        <f>IF(I217="","",I217*D217)</f>
        <v/>
      </c>
    </row>
    <row r="218">
      <c r="A218">
        <f>IFERROR(INDEX(SORT(FILTER(Transactions!$B:$B,(Transactions!$C:$C="Buy")*(Transactions!$B:$B&lt;&gt;"")),1,1),217),"")</f>
        <v/>
      </c>
      <c r="B218">
        <f>IF(A218="","",INDEX(SORT(FILTER(Transactions!$A:$G,(Transactions!$C:$C="Buy")*(Transactions!$B:$B&lt;&gt;"")),2,1),217,1))</f>
        <v/>
      </c>
      <c r="C218">
        <f>IF(A218="","",INDEX(SORT(FILTER(Transactions!$A:$G,(Transactions!$C:$C="Buy")*(Transactions!$B:$B&lt;&gt;"")),2,1),217,4))</f>
        <v/>
      </c>
      <c r="D218">
        <f>IF(A218="","",INDEX(SORT(FILTER(Transactions!$A:$G,(Transactions!$C:$C="Buy")*(Transactions!$B:$B&lt;&gt;"")),2,1),217,5))</f>
        <v/>
      </c>
      <c r="E218">
        <f>IF(C218="","",C218*D218)</f>
        <v/>
      </c>
      <c r="F218">
        <f>IF(A218="","",SUMIFS(C$2:C218,A$2:A218,A218,B$2:B218,"&lt;="&amp;B218))</f>
        <v/>
      </c>
      <c r="G218">
        <f>IF(A218="","",SUMIFS(Transactions!$D:$D,Transactions!$B:$B,A218,Transactions!$C:$C,"Sell"))</f>
        <v/>
      </c>
      <c r="H218">
        <f>IF(A218="","",MAX(0,MIN(C218,G218-SUM(H$2:H217))))</f>
        <v/>
      </c>
      <c r="I218">
        <f>IF(C218="","",C218-H218)</f>
        <v/>
      </c>
      <c r="J218">
        <f>IF(I218="","",I218*D218)</f>
        <v/>
      </c>
    </row>
    <row r="219">
      <c r="A219">
        <f>IFERROR(INDEX(SORT(FILTER(Transactions!$B:$B,(Transactions!$C:$C="Buy")*(Transactions!$B:$B&lt;&gt;"")),1,1),218),"")</f>
        <v/>
      </c>
      <c r="B219">
        <f>IF(A219="","",INDEX(SORT(FILTER(Transactions!$A:$G,(Transactions!$C:$C="Buy")*(Transactions!$B:$B&lt;&gt;"")),2,1),218,1))</f>
        <v/>
      </c>
      <c r="C219">
        <f>IF(A219="","",INDEX(SORT(FILTER(Transactions!$A:$G,(Transactions!$C:$C="Buy")*(Transactions!$B:$B&lt;&gt;"")),2,1),218,4))</f>
        <v/>
      </c>
      <c r="D219">
        <f>IF(A219="","",INDEX(SORT(FILTER(Transactions!$A:$G,(Transactions!$C:$C="Buy")*(Transactions!$B:$B&lt;&gt;"")),2,1),218,5))</f>
        <v/>
      </c>
      <c r="E219">
        <f>IF(C219="","",C219*D219)</f>
        <v/>
      </c>
      <c r="F219">
        <f>IF(A219="","",SUMIFS(C$2:C219,A$2:A219,A219,B$2:B219,"&lt;="&amp;B219))</f>
        <v/>
      </c>
      <c r="G219">
        <f>IF(A219="","",SUMIFS(Transactions!$D:$D,Transactions!$B:$B,A219,Transactions!$C:$C,"Sell"))</f>
        <v/>
      </c>
      <c r="H219">
        <f>IF(A219="","",MAX(0,MIN(C219,G219-SUM(H$2:H218))))</f>
        <v/>
      </c>
      <c r="I219">
        <f>IF(C219="","",C219-H219)</f>
        <v/>
      </c>
      <c r="J219">
        <f>IF(I219="","",I219*D219)</f>
        <v/>
      </c>
    </row>
    <row r="220">
      <c r="A220">
        <f>IFERROR(INDEX(SORT(FILTER(Transactions!$B:$B,(Transactions!$C:$C="Buy")*(Transactions!$B:$B&lt;&gt;"")),1,1),219),"")</f>
        <v/>
      </c>
      <c r="B220">
        <f>IF(A220="","",INDEX(SORT(FILTER(Transactions!$A:$G,(Transactions!$C:$C="Buy")*(Transactions!$B:$B&lt;&gt;"")),2,1),219,1))</f>
        <v/>
      </c>
      <c r="C220">
        <f>IF(A220="","",INDEX(SORT(FILTER(Transactions!$A:$G,(Transactions!$C:$C="Buy")*(Transactions!$B:$B&lt;&gt;"")),2,1),219,4))</f>
        <v/>
      </c>
      <c r="D220">
        <f>IF(A220="","",INDEX(SORT(FILTER(Transactions!$A:$G,(Transactions!$C:$C="Buy")*(Transactions!$B:$B&lt;&gt;"")),2,1),219,5))</f>
        <v/>
      </c>
      <c r="E220">
        <f>IF(C220="","",C220*D220)</f>
        <v/>
      </c>
      <c r="F220">
        <f>IF(A220="","",SUMIFS(C$2:C220,A$2:A220,A220,B$2:B220,"&lt;="&amp;B220))</f>
        <v/>
      </c>
      <c r="G220">
        <f>IF(A220="","",SUMIFS(Transactions!$D:$D,Transactions!$B:$B,A220,Transactions!$C:$C,"Sell"))</f>
        <v/>
      </c>
      <c r="H220">
        <f>IF(A220="","",MAX(0,MIN(C220,G220-SUM(H$2:H219))))</f>
        <v/>
      </c>
      <c r="I220">
        <f>IF(C220="","",C220-H220)</f>
        <v/>
      </c>
      <c r="J220">
        <f>IF(I220="","",I220*D220)</f>
        <v/>
      </c>
    </row>
    <row r="221">
      <c r="A221">
        <f>IFERROR(INDEX(SORT(FILTER(Transactions!$B:$B,(Transactions!$C:$C="Buy")*(Transactions!$B:$B&lt;&gt;"")),1,1),220),"")</f>
        <v/>
      </c>
      <c r="B221">
        <f>IF(A221="","",INDEX(SORT(FILTER(Transactions!$A:$G,(Transactions!$C:$C="Buy")*(Transactions!$B:$B&lt;&gt;"")),2,1),220,1))</f>
        <v/>
      </c>
      <c r="C221">
        <f>IF(A221="","",INDEX(SORT(FILTER(Transactions!$A:$G,(Transactions!$C:$C="Buy")*(Transactions!$B:$B&lt;&gt;"")),2,1),220,4))</f>
        <v/>
      </c>
      <c r="D221">
        <f>IF(A221="","",INDEX(SORT(FILTER(Transactions!$A:$G,(Transactions!$C:$C="Buy")*(Transactions!$B:$B&lt;&gt;"")),2,1),220,5))</f>
        <v/>
      </c>
      <c r="E221">
        <f>IF(C221="","",C221*D221)</f>
        <v/>
      </c>
      <c r="F221">
        <f>IF(A221="","",SUMIFS(C$2:C221,A$2:A221,A221,B$2:B221,"&lt;="&amp;B221))</f>
        <v/>
      </c>
      <c r="G221">
        <f>IF(A221="","",SUMIFS(Transactions!$D:$D,Transactions!$B:$B,A221,Transactions!$C:$C,"Sell"))</f>
        <v/>
      </c>
      <c r="H221">
        <f>IF(A221="","",MAX(0,MIN(C221,G221-SUM(H$2:H220))))</f>
        <v/>
      </c>
      <c r="I221">
        <f>IF(C221="","",C221-H221)</f>
        <v/>
      </c>
      <c r="J221">
        <f>IF(I221="","",I221*D221)</f>
        <v/>
      </c>
    </row>
    <row r="222">
      <c r="A222">
        <f>IFERROR(INDEX(SORT(FILTER(Transactions!$B:$B,(Transactions!$C:$C="Buy")*(Transactions!$B:$B&lt;&gt;"")),1,1),221),"")</f>
        <v/>
      </c>
      <c r="B222">
        <f>IF(A222="","",INDEX(SORT(FILTER(Transactions!$A:$G,(Transactions!$C:$C="Buy")*(Transactions!$B:$B&lt;&gt;"")),2,1),221,1))</f>
        <v/>
      </c>
      <c r="C222">
        <f>IF(A222="","",INDEX(SORT(FILTER(Transactions!$A:$G,(Transactions!$C:$C="Buy")*(Transactions!$B:$B&lt;&gt;"")),2,1),221,4))</f>
        <v/>
      </c>
      <c r="D222">
        <f>IF(A222="","",INDEX(SORT(FILTER(Transactions!$A:$G,(Transactions!$C:$C="Buy")*(Transactions!$B:$B&lt;&gt;"")),2,1),221,5))</f>
        <v/>
      </c>
      <c r="E222">
        <f>IF(C222="","",C222*D222)</f>
        <v/>
      </c>
      <c r="F222">
        <f>IF(A222="","",SUMIFS(C$2:C222,A$2:A222,A222,B$2:B222,"&lt;="&amp;B222))</f>
        <v/>
      </c>
      <c r="G222">
        <f>IF(A222="","",SUMIFS(Transactions!$D:$D,Transactions!$B:$B,A222,Transactions!$C:$C,"Sell"))</f>
        <v/>
      </c>
      <c r="H222">
        <f>IF(A222="","",MAX(0,MIN(C222,G222-SUM(H$2:H221))))</f>
        <v/>
      </c>
      <c r="I222">
        <f>IF(C222="","",C222-H222)</f>
        <v/>
      </c>
      <c r="J222">
        <f>IF(I222="","",I222*D222)</f>
        <v/>
      </c>
    </row>
    <row r="223">
      <c r="A223">
        <f>IFERROR(INDEX(SORT(FILTER(Transactions!$B:$B,(Transactions!$C:$C="Buy")*(Transactions!$B:$B&lt;&gt;"")),1,1),222),"")</f>
        <v/>
      </c>
      <c r="B223">
        <f>IF(A223="","",INDEX(SORT(FILTER(Transactions!$A:$G,(Transactions!$C:$C="Buy")*(Transactions!$B:$B&lt;&gt;"")),2,1),222,1))</f>
        <v/>
      </c>
      <c r="C223">
        <f>IF(A223="","",INDEX(SORT(FILTER(Transactions!$A:$G,(Transactions!$C:$C="Buy")*(Transactions!$B:$B&lt;&gt;"")),2,1),222,4))</f>
        <v/>
      </c>
      <c r="D223">
        <f>IF(A223="","",INDEX(SORT(FILTER(Transactions!$A:$G,(Transactions!$C:$C="Buy")*(Transactions!$B:$B&lt;&gt;"")),2,1),222,5))</f>
        <v/>
      </c>
      <c r="E223">
        <f>IF(C223="","",C223*D223)</f>
        <v/>
      </c>
      <c r="F223">
        <f>IF(A223="","",SUMIFS(C$2:C223,A$2:A223,A223,B$2:B223,"&lt;="&amp;B223))</f>
        <v/>
      </c>
      <c r="G223">
        <f>IF(A223="","",SUMIFS(Transactions!$D:$D,Transactions!$B:$B,A223,Transactions!$C:$C,"Sell"))</f>
        <v/>
      </c>
      <c r="H223">
        <f>IF(A223="","",MAX(0,MIN(C223,G223-SUM(H$2:H222))))</f>
        <v/>
      </c>
      <c r="I223">
        <f>IF(C223="","",C223-H223)</f>
        <v/>
      </c>
      <c r="J223">
        <f>IF(I223="","",I223*D223)</f>
        <v/>
      </c>
    </row>
    <row r="224">
      <c r="A224">
        <f>IFERROR(INDEX(SORT(FILTER(Transactions!$B:$B,(Transactions!$C:$C="Buy")*(Transactions!$B:$B&lt;&gt;"")),1,1),223),"")</f>
        <v/>
      </c>
      <c r="B224">
        <f>IF(A224="","",INDEX(SORT(FILTER(Transactions!$A:$G,(Transactions!$C:$C="Buy")*(Transactions!$B:$B&lt;&gt;"")),2,1),223,1))</f>
        <v/>
      </c>
      <c r="C224">
        <f>IF(A224="","",INDEX(SORT(FILTER(Transactions!$A:$G,(Transactions!$C:$C="Buy")*(Transactions!$B:$B&lt;&gt;"")),2,1),223,4))</f>
        <v/>
      </c>
      <c r="D224">
        <f>IF(A224="","",INDEX(SORT(FILTER(Transactions!$A:$G,(Transactions!$C:$C="Buy")*(Transactions!$B:$B&lt;&gt;"")),2,1),223,5))</f>
        <v/>
      </c>
      <c r="E224">
        <f>IF(C224="","",C224*D224)</f>
        <v/>
      </c>
      <c r="F224">
        <f>IF(A224="","",SUMIFS(C$2:C224,A$2:A224,A224,B$2:B224,"&lt;="&amp;B224))</f>
        <v/>
      </c>
      <c r="G224">
        <f>IF(A224="","",SUMIFS(Transactions!$D:$D,Transactions!$B:$B,A224,Transactions!$C:$C,"Sell"))</f>
        <v/>
      </c>
      <c r="H224">
        <f>IF(A224="","",MAX(0,MIN(C224,G224-SUM(H$2:H223))))</f>
        <v/>
      </c>
      <c r="I224">
        <f>IF(C224="","",C224-H224)</f>
        <v/>
      </c>
      <c r="J224">
        <f>IF(I224="","",I224*D224)</f>
        <v/>
      </c>
    </row>
    <row r="225">
      <c r="A225">
        <f>IFERROR(INDEX(SORT(FILTER(Transactions!$B:$B,(Transactions!$C:$C="Buy")*(Transactions!$B:$B&lt;&gt;"")),1,1),224),"")</f>
        <v/>
      </c>
      <c r="B225">
        <f>IF(A225="","",INDEX(SORT(FILTER(Transactions!$A:$G,(Transactions!$C:$C="Buy")*(Transactions!$B:$B&lt;&gt;"")),2,1),224,1))</f>
        <v/>
      </c>
      <c r="C225">
        <f>IF(A225="","",INDEX(SORT(FILTER(Transactions!$A:$G,(Transactions!$C:$C="Buy")*(Transactions!$B:$B&lt;&gt;"")),2,1),224,4))</f>
        <v/>
      </c>
      <c r="D225">
        <f>IF(A225="","",INDEX(SORT(FILTER(Transactions!$A:$G,(Transactions!$C:$C="Buy")*(Transactions!$B:$B&lt;&gt;"")),2,1),224,5))</f>
        <v/>
      </c>
      <c r="E225">
        <f>IF(C225="","",C225*D225)</f>
        <v/>
      </c>
      <c r="F225">
        <f>IF(A225="","",SUMIFS(C$2:C225,A$2:A225,A225,B$2:B225,"&lt;="&amp;B225))</f>
        <v/>
      </c>
      <c r="G225">
        <f>IF(A225="","",SUMIFS(Transactions!$D:$D,Transactions!$B:$B,A225,Transactions!$C:$C,"Sell"))</f>
        <v/>
      </c>
      <c r="H225">
        <f>IF(A225="","",MAX(0,MIN(C225,G225-SUM(H$2:H224))))</f>
        <v/>
      </c>
      <c r="I225">
        <f>IF(C225="","",C225-H225)</f>
        <v/>
      </c>
      <c r="J225">
        <f>IF(I225="","",I225*D225)</f>
        <v/>
      </c>
    </row>
    <row r="226">
      <c r="A226">
        <f>IFERROR(INDEX(SORT(FILTER(Transactions!$B:$B,(Transactions!$C:$C="Buy")*(Transactions!$B:$B&lt;&gt;"")),1,1),225),"")</f>
        <v/>
      </c>
      <c r="B226">
        <f>IF(A226="","",INDEX(SORT(FILTER(Transactions!$A:$G,(Transactions!$C:$C="Buy")*(Transactions!$B:$B&lt;&gt;"")),2,1),225,1))</f>
        <v/>
      </c>
      <c r="C226">
        <f>IF(A226="","",INDEX(SORT(FILTER(Transactions!$A:$G,(Transactions!$C:$C="Buy")*(Transactions!$B:$B&lt;&gt;"")),2,1),225,4))</f>
        <v/>
      </c>
      <c r="D226">
        <f>IF(A226="","",INDEX(SORT(FILTER(Transactions!$A:$G,(Transactions!$C:$C="Buy")*(Transactions!$B:$B&lt;&gt;"")),2,1),225,5))</f>
        <v/>
      </c>
      <c r="E226">
        <f>IF(C226="","",C226*D226)</f>
        <v/>
      </c>
      <c r="F226">
        <f>IF(A226="","",SUMIFS(C$2:C226,A$2:A226,A226,B$2:B226,"&lt;="&amp;B226))</f>
        <v/>
      </c>
      <c r="G226">
        <f>IF(A226="","",SUMIFS(Transactions!$D:$D,Transactions!$B:$B,A226,Transactions!$C:$C,"Sell"))</f>
        <v/>
      </c>
      <c r="H226">
        <f>IF(A226="","",MAX(0,MIN(C226,G226-SUM(H$2:H225))))</f>
        <v/>
      </c>
      <c r="I226">
        <f>IF(C226="","",C226-H226)</f>
        <v/>
      </c>
      <c r="J226">
        <f>IF(I226="","",I226*D226)</f>
        <v/>
      </c>
    </row>
    <row r="227">
      <c r="A227">
        <f>IFERROR(INDEX(SORT(FILTER(Transactions!$B:$B,(Transactions!$C:$C="Buy")*(Transactions!$B:$B&lt;&gt;"")),1,1),226),"")</f>
        <v/>
      </c>
      <c r="B227">
        <f>IF(A227="","",INDEX(SORT(FILTER(Transactions!$A:$G,(Transactions!$C:$C="Buy")*(Transactions!$B:$B&lt;&gt;"")),2,1),226,1))</f>
        <v/>
      </c>
      <c r="C227">
        <f>IF(A227="","",INDEX(SORT(FILTER(Transactions!$A:$G,(Transactions!$C:$C="Buy")*(Transactions!$B:$B&lt;&gt;"")),2,1),226,4))</f>
        <v/>
      </c>
      <c r="D227">
        <f>IF(A227="","",INDEX(SORT(FILTER(Transactions!$A:$G,(Transactions!$C:$C="Buy")*(Transactions!$B:$B&lt;&gt;"")),2,1),226,5))</f>
        <v/>
      </c>
      <c r="E227">
        <f>IF(C227="","",C227*D227)</f>
        <v/>
      </c>
      <c r="F227">
        <f>IF(A227="","",SUMIFS(C$2:C227,A$2:A227,A227,B$2:B227,"&lt;="&amp;B227))</f>
        <v/>
      </c>
      <c r="G227">
        <f>IF(A227="","",SUMIFS(Transactions!$D:$D,Transactions!$B:$B,A227,Transactions!$C:$C,"Sell"))</f>
        <v/>
      </c>
      <c r="H227">
        <f>IF(A227="","",MAX(0,MIN(C227,G227-SUM(H$2:H226))))</f>
        <v/>
      </c>
      <c r="I227">
        <f>IF(C227="","",C227-H227)</f>
        <v/>
      </c>
      <c r="J227">
        <f>IF(I227="","",I227*D227)</f>
        <v/>
      </c>
    </row>
    <row r="228">
      <c r="A228">
        <f>IFERROR(INDEX(SORT(FILTER(Transactions!$B:$B,(Transactions!$C:$C="Buy")*(Transactions!$B:$B&lt;&gt;"")),1,1),227),"")</f>
        <v/>
      </c>
      <c r="B228">
        <f>IF(A228="","",INDEX(SORT(FILTER(Transactions!$A:$G,(Transactions!$C:$C="Buy")*(Transactions!$B:$B&lt;&gt;"")),2,1),227,1))</f>
        <v/>
      </c>
      <c r="C228">
        <f>IF(A228="","",INDEX(SORT(FILTER(Transactions!$A:$G,(Transactions!$C:$C="Buy")*(Transactions!$B:$B&lt;&gt;"")),2,1),227,4))</f>
        <v/>
      </c>
      <c r="D228">
        <f>IF(A228="","",INDEX(SORT(FILTER(Transactions!$A:$G,(Transactions!$C:$C="Buy")*(Transactions!$B:$B&lt;&gt;"")),2,1),227,5))</f>
        <v/>
      </c>
      <c r="E228">
        <f>IF(C228="","",C228*D228)</f>
        <v/>
      </c>
      <c r="F228">
        <f>IF(A228="","",SUMIFS(C$2:C228,A$2:A228,A228,B$2:B228,"&lt;="&amp;B228))</f>
        <v/>
      </c>
      <c r="G228">
        <f>IF(A228="","",SUMIFS(Transactions!$D:$D,Transactions!$B:$B,A228,Transactions!$C:$C,"Sell"))</f>
        <v/>
      </c>
      <c r="H228">
        <f>IF(A228="","",MAX(0,MIN(C228,G228-SUM(H$2:H227))))</f>
        <v/>
      </c>
      <c r="I228">
        <f>IF(C228="","",C228-H228)</f>
        <v/>
      </c>
      <c r="J228">
        <f>IF(I228="","",I228*D228)</f>
        <v/>
      </c>
    </row>
    <row r="229">
      <c r="A229">
        <f>IFERROR(INDEX(SORT(FILTER(Transactions!$B:$B,(Transactions!$C:$C="Buy")*(Transactions!$B:$B&lt;&gt;"")),1,1),228),"")</f>
        <v/>
      </c>
      <c r="B229">
        <f>IF(A229="","",INDEX(SORT(FILTER(Transactions!$A:$G,(Transactions!$C:$C="Buy")*(Transactions!$B:$B&lt;&gt;"")),2,1),228,1))</f>
        <v/>
      </c>
      <c r="C229">
        <f>IF(A229="","",INDEX(SORT(FILTER(Transactions!$A:$G,(Transactions!$C:$C="Buy")*(Transactions!$B:$B&lt;&gt;"")),2,1),228,4))</f>
        <v/>
      </c>
      <c r="D229">
        <f>IF(A229="","",INDEX(SORT(FILTER(Transactions!$A:$G,(Transactions!$C:$C="Buy")*(Transactions!$B:$B&lt;&gt;"")),2,1),228,5))</f>
        <v/>
      </c>
      <c r="E229">
        <f>IF(C229="","",C229*D229)</f>
        <v/>
      </c>
      <c r="F229">
        <f>IF(A229="","",SUMIFS(C$2:C229,A$2:A229,A229,B$2:B229,"&lt;="&amp;B229))</f>
        <v/>
      </c>
      <c r="G229">
        <f>IF(A229="","",SUMIFS(Transactions!$D:$D,Transactions!$B:$B,A229,Transactions!$C:$C,"Sell"))</f>
        <v/>
      </c>
      <c r="H229">
        <f>IF(A229="","",MAX(0,MIN(C229,G229-SUM(H$2:H228))))</f>
        <v/>
      </c>
      <c r="I229">
        <f>IF(C229="","",C229-H229)</f>
        <v/>
      </c>
      <c r="J229">
        <f>IF(I229="","",I229*D229)</f>
        <v/>
      </c>
    </row>
    <row r="230">
      <c r="A230">
        <f>IFERROR(INDEX(SORT(FILTER(Transactions!$B:$B,(Transactions!$C:$C="Buy")*(Transactions!$B:$B&lt;&gt;"")),1,1),229),"")</f>
        <v/>
      </c>
      <c r="B230">
        <f>IF(A230="","",INDEX(SORT(FILTER(Transactions!$A:$G,(Transactions!$C:$C="Buy")*(Transactions!$B:$B&lt;&gt;"")),2,1),229,1))</f>
        <v/>
      </c>
      <c r="C230">
        <f>IF(A230="","",INDEX(SORT(FILTER(Transactions!$A:$G,(Transactions!$C:$C="Buy")*(Transactions!$B:$B&lt;&gt;"")),2,1),229,4))</f>
        <v/>
      </c>
      <c r="D230">
        <f>IF(A230="","",INDEX(SORT(FILTER(Transactions!$A:$G,(Transactions!$C:$C="Buy")*(Transactions!$B:$B&lt;&gt;"")),2,1),229,5))</f>
        <v/>
      </c>
      <c r="E230">
        <f>IF(C230="","",C230*D230)</f>
        <v/>
      </c>
      <c r="F230">
        <f>IF(A230="","",SUMIFS(C$2:C230,A$2:A230,A230,B$2:B230,"&lt;="&amp;B230))</f>
        <v/>
      </c>
      <c r="G230">
        <f>IF(A230="","",SUMIFS(Transactions!$D:$D,Transactions!$B:$B,A230,Transactions!$C:$C,"Sell"))</f>
        <v/>
      </c>
      <c r="H230">
        <f>IF(A230="","",MAX(0,MIN(C230,G230-SUM(H$2:H229))))</f>
        <v/>
      </c>
      <c r="I230">
        <f>IF(C230="","",C230-H230)</f>
        <v/>
      </c>
      <c r="J230">
        <f>IF(I230="","",I230*D230)</f>
        <v/>
      </c>
    </row>
    <row r="231">
      <c r="A231">
        <f>IFERROR(INDEX(SORT(FILTER(Transactions!$B:$B,(Transactions!$C:$C="Buy")*(Transactions!$B:$B&lt;&gt;"")),1,1),230),"")</f>
        <v/>
      </c>
      <c r="B231">
        <f>IF(A231="","",INDEX(SORT(FILTER(Transactions!$A:$G,(Transactions!$C:$C="Buy")*(Transactions!$B:$B&lt;&gt;"")),2,1),230,1))</f>
        <v/>
      </c>
      <c r="C231">
        <f>IF(A231="","",INDEX(SORT(FILTER(Transactions!$A:$G,(Transactions!$C:$C="Buy")*(Transactions!$B:$B&lt;&gt;"")),2,1),230,4))</f>
        <v/>
      </c>
      <c r="D231">
        <f>IF(A231="","",INDEX(SORT(FILTER(Transactions!$A:$G,(Transactions!$C:$C="Buy")*(Transactions!$B:$B&lt;&gt;"")),2,1),230,5))</f>
        <v/>
      </c>
      <c r="E231">
        <f>IF(C231="","",C231*D231)</f>
        <v/>
      </c>
      <c r="F231">
        <f>IF(A231="","",SUMIFS(C$2:C231,A$2:A231,A231,B$2:B231,"&lt;="&amp;B231))</f>
        <v/>
      </c>
      <c r="G231">
        <f>IF(A231="","",SUMIFS(Transactions!$D:$D,Transactions!$B:$B,A231,Transactions!$C:$C,"Sell"))</f>
        <v/>
      </c>
      <c r="H231">
        <f>IF(A231="","",MAX(0,MIN(C231,G231-SUM(H$2:H230))))</f>
        <v/>
      </c>
      <c r="I231">
        <f>IF(C231="","",C231-H231)</f>
        <v/>
      </c>
      <c r="J231">
        <f>IF(I231="","",I231*D231)</f>
        <v/>
      </c>
    </row>
    <row r="232">
      <c r="A232">
        <f>IFERROR(INDEX(SORT(FILTER(Transactions!$B:$B,(Transactions!$C:$C="Buy")*(Transactions!$B:$B&lt;&gt;"")),1,1),231),"")</f>
        <v/>
      </c>
      <c r="B232">
        <f>IF(A232="","",INDEX(SORT(FILTER(Transactions!$A:$G,(Transactions!$C:$C="Buy")*(Transactions!$B:$B&lt;&gt;"")),2,1),231,1))</f>
        <v/>
      </c>
      <c r="C232">
        <f>IF(A232="","",INDEX(SORT(FILTER(Transactions!$A:$G,(Transactions!$C:$C="Buy")*(Transactions!$B:$B&lt;&gt;"")),2,1),231,4))</f>
        <v/>
      </c>
      <c r="D232">
        <f>IF(A232="","",INDEX(SORT(FILTER(Transactions!$A:$G,(Transactions!$C:$C="Buy")*(Transactions!$B:$B&lt;&gt;"")),2,1),231,5))</f>
        <v/>
      </c>
      <c r="E232">
        <f>IF(C232="","",C232*D232)</f>
        <v/>
      </c>
      <c r="F232">
        <f>IF(A232="","",SUMIFS(C$2:C232,A$2:A232,A232,B$2:B232,"&lt;="&amp;B232))</f>
        <v/>
      </c>
      <c r="G232">
        <f>IF(A232="","",SUMIFS(Transactions!$D:$D,Transactions!$B:$B,A232,Transactions!$C:$C,"Sell"))</f>
        <v/>
      </c>
      <c r="H232">
        <f>IF(A232="","",MAX(0,MIN(C232,G232-SUM(H$2:H231))))</f>
        <v/>
      </c>
      <c r="I232">
        <f>IF(C232="","",C232-H232)</f>
        <v/>
      </c>
      <c r="J232">
        <f>IF(I232="","",I232*D232)</f>
        <v/>
      </c>
    </row>
    <row r="233">
      <c r="A233">
        <f>IFERROR(INDEX(SORT(FILTER(Transactions!$B:$B,(Transactions!$C:$C="Buy")*(Transactions!$B:$B&lt;&gt;"")),1,1),232),"")</f>
        <v/>
      </c>
      <c r="B233">
        <f>IF(A233="","",INDEX(SORT(FILTER(Transactions!$A:$G,(Transactions!$C:$C="Buy")*(Transactions!$B:$B&lt;&gt;"")),2,1),232,1))</f>
        <v/>
      </c>
      <c r="C233">
        <f>IF(A233="","",INDEX(SORT(FILTER(Transactions!$A:$G,(Transactions!$C:$C="Buy")*(Transactions!$B:$B&lt;&gt;"")),2,1),232,4))</f>
        <v/>
      </c>
      <c r="D233">
        <f>IF(A233="","",INDEX(SORT(FILTER(Transactions!$A:$G,(Transactions!$C:$C="Buy")*(Transactions!$B:$B&lt;&gt;"")),2,1),232,5))</f>
        <v/>
      </c>
      <c r="E233">
        <f>IF(C233="","",C233*D233)</f>
        <v/>
      </c>
      <c r="F233">
        <f>IF(A233="","",SUMIFS(C$2:C233,A$2:A233,A233,B$2:B233,"&lt;="&amp;B233))</f>
        <v/>
      </c>
      <c r="G233">
        <f>IF(A233="","",SUMIFS(Transactions!$D:$D,Transactions!$B:$B,A233,Transactions!$C:$C,"Sell"))</f>
        <v/>
      </c>
      <c r="H233">
        <f>IF(A233="","",MAX(0,MIN(C233,G233-SUM(H$2:H232))))</f>
        <v/>
      </c>
      <c r="I233">
        <f>IF(C233="","",C233-H233)</f>
        <v/>
      </c>
      <c r="J233">
        <f>IF(I233="","",I233*D233)</f>
        <v/>
      </c>
    </row>
    <row r="234">
      <c r="A234">
        <f>IFERROR(INDEX(SORT(FILTER(Transactions!$B:$B,(Transactions!$C:$C="Buy")*(Transactions!$B:$B&lt;&gt;"")),1,1),233),"")</f>
        <v/>
      </c>
      <c r="B234">
        <f>IF(A234="","",INDEX(SORT(FILTER(Transactions!$A:$G,(Transactions!$C:$C="Buy")*(Transactions!$B:$B&lt;&gt;"")),2,1),233,1))</f>
        <v/>
      </c>
      <c r="C234">
        <f>IF(A234="","",INDEX(SORT(FILTER(Transactions!$A:$G,(Transactions!$C:$C="Buy")*(Transactions!$B:$B&lt;&gt;"")),2,1),233,4))</f>
        <v/>
      </c>
      <c r="D234">
        <f>IF(A234="","",INDEX(SORT(FILTER(Transactions!$A:$G,(Transactions!$C:$C="Buy")*(Transactions!$B:$B&lt;&gt;"")),2,1),233,5))</f>
        <v/>
      </c>
      <c r="E234">
        <f>IF(C234="","",C234*D234)</f>
        <v/>
      </c>
      <c r="F234">
        <f>IF(A234="","",SUMIFS(C$2:C234,A$2:A234,A234,B$2:B234,"&lt;="&amp;B234))</f>
        <v/>
      </c>
      <c r="G234">
        <f>IF(A234="","",SUMIFS(Transactions!$D:$D,Transactions!$B:$B,A234,Transactions!$C:$C,"Sell"))</f>
        <v/>
      </c>
      <c r="H234">
        <f>IF(A234="","",MAX(0,MIN(C234,G234-SUM(H$2:H233))))</f>
        <v/>
      </c>
      <c r="I234">
        <f>IF(C234="","",C234-H234)</f>
        <v/>
      </c>
      <c r="J234">
        <f>IF(I234="","",I234*D234)</f>
        <v/>
      </c>
    </row>
    <row r="235">
      <c r="A235">
        <f>IFERROR(INDEX(SORT(FILTER(Transactions!$B:$B,(Transactions!$C:$C="Buy")*(Transactions!$B:$B&lt;&gt;"")),1,1),234),"")</f>
        <v/>
      </c>
      <c r="B235">
        <f>IF(A235="","",INDEX(SORT(FILTER(Transactions!$A:$G,(Transactions!$C:$C="Buy")*(Transactions!$B:$B&lt;&gt;"")),2,1),234,1))</f>
        <v/>
      </c>
      <c r="C235">
        <f>IF(A235="","",INDEX(SORT(FILTER(Transactions!$A:$G,(Transactions!$C:$C="Buy")*(Transactions!$B:$B&lt;&gt;"")),2,1),234,4))</f>
        <v/>
      </c>
      <c r="D235">
        <f>IF(A235="","",INDEX(SORT(FILTER(Transactions!$A:$G,(Transactions!$C:$C="Buy")*(Transactions!$B:$B&lt;&gt;"")),2,1),234,5))</f>
        <v/>
      </c>
      <c r="E235">
        <f>IF(C235="","",C235*D235)</f>
        <v/>
      </c>
      <c r="F235">
        <f>IF(A235="","",SUMIFS(C$2:C235,A$2:A235,A235,B$2:B235,"&lt;="&amp;B235))</f>
        <v/>
      </c>
      <c r="G235">
        <f>IF(A235="","",SUMIFS(Transactions!$D:$D,Transactions!$B:$B,A235,Transactions!$C:$C,"Sell"))</f>
        <v/>
      </c>
      <c r="H235">
        <f>IF(A235="","",MAX(0,MIN(C235,G235-SUM(H$2:H234))))</f>
        <v/>
      </c>
      <c r="I235">
        <f>IF(C235="","",C235-H235)</f>
        <v/>
      </c>
      <c r="J235">
        <f>IF(I235="","",I235*D235)</f>
        <v/>
      </c>
    </row>
    <row r="236">
      <c r="A236">
        <f>IFERROR(INDEX(SORT(FILTER(Transactions!$B:$B,(Transactions!$C:$C="Buy")*(Transactions!$B:$B&lt;&gt;"")),1,1),235),"")</f>
        <v/>
      </c>
      <c r="B236">
        <f>IF(A236="","",INDEX(SORT(FILTER(Transactions!$A:$G,(Transactions!$C:$C="Buy")*(Transactions!$B:$B&lt;&gt;"")),2,1),235,1))</f>
        <v/>
      </c>
      <c r="C236">
        <f>IF(A236="","",INDEX(SORT(FILTER(Transactions!$A:$G,(Transactions!$C:$C="Buy")*(Transactions!$B:$B&lt;&gt;"")),2,1),235,4))</f>
        <v/>
      </c>
      <c r="D236">
        <f>IF(A236="","",INDEX(SORT(FILTER(Transactions!$A:$G,(Transactions!$C:$C="Buy")*(Transactions!$B:$B&lt;&gt;"")),2,1),235,5))</f>
        <v/>
      </c>
      <c r="E236">
        <f>IF(C236="","",C236*D236)</f>
        <v/>
      </c>
      <c r="F236">
        <f>IF(A236="","",SUMIFS(C$2:C236,A$2:A236,A236,B$2:B236,"&lt;="&amp;B236))</f>
        <v/>
      </c>
      <c r="G236">
        <f>IF(A236="","",SUMIFS(Transactions!$D:$D,Transactions!$B:$B,A236,Transactions!$C:$C,"Sell"))</f>
        <v/>
      </c>
      <c r="H236">
        <f>IF(A236="","",MAX(0,MIN(C236,G236-SUM(H$2:H235))))</f>
        <v/>
      </c>
      <c r="I236">
        <f>IF(C236="","",C236-H236)</f>
        <v/>
      </c>
      <c r="J236">
        <f>IF(I236="","",I236*D236)</f>
        <v/>
      </c>
    </row>
    <row r="237">
      <c r="A237">
        <f>IFERROR(INDEX(SORT(FILTER(Transactions!$B:$B,(Transactions!$C:$C="Buy")*(Transactions!$B:$B&lt;&gt;"")),1,1),236),"")</f>
        <v/>
      </c>
      <c r="B237">
        <f>IF(A237="","",INDEX(SORT(FILTER(Transactions!$A:$G,(Transactions!$C:$C="Buy")*(Transactions!$B:$B&lt;&gt;"")),2,1),236,1))</f>
        <v/>
      </c>
      <c r="C237">
        <f>IF(A237="","",INDEX(SORT(FILTER(Transactions!$A:$G,(Transactions!$C:$C="Buy")*(Transactions!$B:$B&lt;&gt;"")),2,1),236,4))</f>
        <v/>
      </c>
      <c r="D237">
        <f>IF(A237="","",INDEX(SORT(FILTER(Transactions!$A:$G,(Transactions!$C:$C="Buy")*(Transactions!$B:$B&lt;&gt;"")),2,1),236,5))</f>
        <v/>
      </c>
      <c r="E237">
        <f>IF(C237="","",C237*D237)</f>
        <v/>
      </c>
      <c r="F237">
        <f>IF(A237="","",SUMIFS(C$2:C237,A$2:A237,A237,B$2:B237,"&lt;="&amp;B237))</f>
        <v/>
      </c>
      <c r="G237">
        <f>IF(A237="","",SUMIFS(Transactions!$D:$D,Transactions!$B:$B,A237,Transactions!$C:$C,"Sell"))</f>
        <v/>
      </c>
      <c r="H237">
        <f>IF(A237="","",MAX(0,MIN(C237,G237-SUM(H$2:H236))))</f>
        <v/>
      </c>
      <c r="I237">
        <f>IF(C237="","",C237-H237)</f>
        <v/>
      </c>
      <c r="J237">
        <f>IF(I237="","",I237*D237)</f>
        <v/>
      </c>
    </row>
    <row r="238">
      <c r="A238">
        <f>IFERROR(INDEX(SORT(FILTER(Transactions!$B:$B,(Transactions!$C:$C="Buy")*(Transactions!$B:$B&lt;&gt;"")),1,1),237),"")</f>
        <v/>
      </c>
      <c r="B238">
        <f>IF(A238="","",INDEX(SORT(FILTER(Transactions!$A:$G,(Transactions!$C:$C="Buy")*(Transactions!$B:$B&lt;&gt;"")),2,1),237,1))</f>
        <v/>
      </c>
      <c r="C238">
        <f>IF(A238="","",INDEX(SORT(FILTER(Transactions!$A:$G,(Transactions!$C:$C="Buy")*(Transactions!$B:$B&lt;&gt;"")),2,1),237,4))</f>
        <v/>
      </c>
      <c r="D238">
        <f>IF(A238="","",INDEX(SORT(FILTER(Transactions!$A:$G,(Transactions!$C:$C="Buy")*(Transactions!$B:$B&lt;&gt;"")),2,1),237,5))</f>
        <v/>
      </c>
      <c r="E238">
        <f>IF(C238="","",C238*D238)</f>
        <v/>
      </c>
      <c r="F238">
        <f>IF(A238="","",SUMIFS(C$2:C238,A$2:A238,A238,B$2:B238,"&lt;="&amp;B238))</f>
        <v/>
      </c>
      <c r="G238">
        <f>IF(A238="","",SUMIFS(Transactions!$D:$D,Transactions!$B:$B,A238,Transactions!$C:$C,"Sell"))</f>
        <v/>
      </c>
      <c r="H238">
        <f>IF(A238="","",MAX(0,MIN(C238,G238-SUM(H$2:H237))))</f>
        <v/>
      </c>
      <c r="I238">
        <f>IF(C238="","",C238-H238)</f>
        <v/>
      </c>
      <c r="J238">
        <f>IF(I238="","",I238*D238)</f>
        <v/>
      </c>
    </row>
    <row r="239">
      <c r="A239">
        <f>IFERROR(INDEX(SORT(FILTER(Transactions!$B:$B,(Transactions!$C:$C="Buy")*(Transactions!$B:$B&lt;&gt;"")),1,1),238),"")</f>
        <v/>
      </c>
      <c r="B239">
        <f>IF(A239="","",INDEX(SORT(FILTER(Transactions!$A:$G,(Transactions!$C:$C="Buy")*(Transactions!$B:$B&lt;&gt;"")),2,1),238,1))</f>
        <v/>
      </c>
      <c r="C239">
        <f>IF(A239="","",INDEX(SORT(FILTER(Transactions!$A:$G,(Transactions!$C:$C="Buy")*(Transactions!$B:$B&lt;&gt;"")),2,1),238,4))</f>
        <v/>
      </c>
      <c r="D239">
        <f>IF(A239="","",INDEX(SORT(FILTER(Transactions!$A:$G,(Transactions!$C:$C="Buy")*(Transactions!$B:$B&lt;&gt;"")),2,1),238,5))</f>
        <v/>
      </c>
      <c r="E239">
        <f>IF(C239="","",C239*D239)</f>
        <v/>
      </c>
      <c r="F239">
        <f>IF(A239="","",SUMIFS(C$2:C239,A$2:A239,A239,B$2:B239,"&lt;="&amp;B239))</f>
        <v/>
      </c>
      <c r="G239">
        <f>IF(A239="","",SUMIFS(Transactions!$D:$D,Transactions!$B:$B,A239,Transactions!$C:$C,"Sell"))</f>
        <v/>
      </c>
      <c r="H239">
        <f>IF(A239="","",MAX(0,MIN(C239,G239-SUM(H$2:H238))))</f>
        <v/>
      </c>
      <c r="I239">
        <f>IF(C239="","",C239-H239)</f>
        <v/>
      </c>
      <c r="J239">
        <f>IF(I239="","",I239*D239)</f>
        <v/>
      </c>
    </row>
    <row r="240">
      <c r="A240">
        <f>IFERROR(INDEX(SORT(FILTER(Transactions!$B:$B,(Transactions!$C:$C="Buy")*(Transactions!$B:$B&lt;&gt;"")),1,1),239),"")</f>
        <v/>
      </c>
      <c r="B240">
        <f>IF(A240="","",INDEX(SORT(FILTER(Transactions!$A:$G,(Transactions!$C:$C="Buy")*(Transactions!$B:$B&lt;&gt;"")),2,1),239,1))</f>
        <v/>
      </c>
      <c r="C240">
        <f>IF(A240="","",INDEX(SORT(FILTER(Transactions!$A:$G,(Transactions!$C:$C="Buy")*(Transactions!$B:$B&lt;&gt;"")),2,1),239,4))</f>
        <v/>
      </c>
      <c r="D240">
        <f>IF(A240="","",INDEX(SORT(FILTER(Transactions!$A:$G,(Transactions!$C:$C="Buy")*(Transactions!$B:$B&lt;&gt;"")),2,1),239,5))</f>
        <v/>
      </c>
      <c r="E240">
        <f>IF(C240="","",C240*D240)</f>
        <v/>
      </c>
      <c r="F240">
        <f>IF(A240="","",SUMIFS(C$2:C240,A$2:A240,A240,B$2:B240,"&lt;="&amp;B240))</f>
        <v/>
      </c>
      <c r="G240">
        <f>IF(A240="","",SUMIFS(Transactions!$D:$D,Transactions!$B:$B,A240,Transactions!$C:$C,"Sell"))</f>
        <v/>
      </c>
      <c r="H240">
        <f>IF(A240="","",MAX(0,MIN(C240,G240-SUM(H$2:H239))))</f>
        <v/>
      </c>
      <c r="I240">
        <f>IF(C240="","",C240-H240)</f>
        <v/>
      </c>
      <c r="J240">
        <f>IF(I240="","",I240*D240)</f>
        <v/>
      </c>
    </row>
    <row r="241">
      <c r="A241">
        <f>IFERROR(INDEX(SORT(FILTER(Transactions!$B:$B,(Transactions!$C:$C="Buy")*(Transactions!$B:$B&lt;&gt;"")),1,1),240),"")</f>
        <v/>
      </c>
      <c r="B241">
        <f>IF(A241="","",INDEX(SORT(FILTER(Transactions!$A:$G,(Transactions!$C:$C="Buy")*(Transactions!$B:$B&lt;&gt;"")),2,1),240,1))</f>
        <v/>
      </c>
      <c r="C241">
        <f>IF(A241="","",INDEX(SORT(FILTER(Transactions!$A:$G,(Transactions!$C:$C="Buy")*(Transactions!$B:$B&lt;&gt;"")),2,1),240,4))</f>
        <v/>
      </c>
      <c r="D241">
        <f>IF(A241="","",INDEX(SORT(FILTER(Transactions!$A:$G,(Transactions!$C:$C="Buy")*(Transactions!$B:$B&lt;&gt;"")),2,1),240,5))</f>
        <v/>
      </c>
      <c r="E241">
        <f>IF(C241="","",C241*D241)</f>
        <v/>
      </c>
      <c r="F241">
        <f>IF(A241="","",SUMIFS(C$2:C241,A$2:A241,A241,B$2:B241,"&lt;="&amp;B241))</f>
        <v/>
      </c>
      <c r="G241">
        <f>IF(A241="","",SUMIFS(Transactions!$D:$D,Transactions!$B:$B,A241,Transactions!$C:$C,"Sell"))</f>
        <v/>
      </c>
      <c r="H241">
        <f>IF(A241="","",MAX(0,MIN(C241,G241-SUM(H$2:H240))))</f>
        <v/>
      </c>
      <c r="I241">
        <f>IF(C241="","",C241-H241)</f>
        <v/>
      </c>
      <c r="J241">
        <f>IF(I241="","",I241*D241)</f>
        <v/>
      </c>
    </row>
    <row r="242">
      <c r="A242">
        <f>IFERROR(INDEX(SORT(FILTER(Transactions!$B:$B,(Transactions!$C:$C="Buy")*(Transactions!$B:$B&lt;&gt;"")),1,1),241),"")</f>
        <v/>
      </c>
      <c r="B242">
        <f>IF(A242="","",INDEX(SORT(FILTER(Transactions!$A:$G,(Transactions!$C:$C="Buy")*(Transactions!$B:$B&lt;&gt;"")),2,1),241,1))</f>
        <v/>
      </c>
      <c r="C242">
        <f>IF(A242="","",INDEX(SORT(FILTER(Transactions!$A:$G,(Transactions!$C:$C="Buy")*(Transactions!$B:$B&lt;&gt;"")),2,1),241,4))</f>
        <v/>
      </c>
      <c r="D242">
        <f>IF(A242="","",INDEX(SORT(FILTER(Transactions!$A:$G,(Transactions!$C:$C="Buy")*(Transactions!$B:$B&lt;&gt;"")),2,1),241,5))</f>
        <v/>
      </c>
      <c r="E242">
        <f>IF(C242="","",C242*D242)</f>
        <v/>
      </c>
      <c r="F242">
        <f>IF(A242="","",SUMIFS(C$2:C242,A$2:A242,A242,B$2:B242,"&lt;="&amp;B242))</f>
        <v/>
      </c>
      <c r="G242">
        <f>IF(A242="","",SUMIFS(Transactions!$D:$D,Transactions!$B:$B,A242,Transactions!$C:$C,"Sell"))</f>
        <v/>
      </c>
      <c r="H242">
        <f>IF(A242="","",MAX(0,MIN(C242,G242-SUM(H$2:H241))))</f>
        <v/>
      </c>
      <c r="I242">
        <f>IF(C242="","",C242-H242)</f>
        <v/>
      </c>
      <c r="J242">
        <f>IF(I242="","",I242*D242)</f>
        <v/>
      </c>
    </row>
    <row r="243">
      <c r="A243">
        <f>IFERROR(INDEX(SORT(FILTER(Transactions!$B:$B,(Transactions!$C:$C="Buy")*(Transactions!$B:$B&lt;&gt;"")),1,1),242),"")</f>
        <v/>
      </c>
      <c r="B243">
        <f>IF(A243="","",INDEX(SORT(FILTER(Transactions!$A:$G,(Transactions!$C:$C="Buy")*(Transactions!$B:$B&lt;&gt;"")),2,1),242,1))</f>
        <v/>
      </c>
      <c r="C243">
        <f>IF(A243="","",INDEX(SORT(FILTER(Transactions!$A:$G,(Transactions!$C:$C="Buy")*(Transactions!$B:$B&lt;&gt;"")),2,1),242,4))</f>
        <v/>
      </c>
      <c r="D243">
        <f>IF(A243="","",INDEX(SORT(FILTER(Transactions!$A:$G,(Transactions!$C:$C="Buy")*(Transactions!$B:$B&lt;&gt;"")),2,1),242,5))</f>
        <v/>
      </c>
      <c r="E243">
        <f>IF(C243="","",C243*D243)</f>
        <v/>
      </c>
      <c r="F243">
        <f>IF(A243="","",SUMIFS(C$2:C243,A$2:A243,A243,B$2:B243,"&lt;="&amp;B243))</f>
        <v/>
      </c>
      <c r="G243">
        <f>IF(A243="","",SUMIFS(Transactions!$D:$D,Transactions!$B:$B,A243,Transactions!$C:$C,"Sell"))</f>
        <v/>
      </c>
      <c r="H243">
        <f>IF(A243="","",MAX(0,MIN(C243,G243-SUM(H$2:H242))))</f>
        <v/>
      </c>
      <c r="I243">
        <f>IF(C243="","",C243-H243)</f>
        <v/>
      </c>
      <c r="J243">
        <f>IF(I243="","",I243*D243)</f>
        <v/>
      </c>
    </row>
    <row r="244">
      <c r="A244">
        <f>IFERROR(INDEX(SORT(FILTER(Transactions!$B:$B,(Transactions!$C:$C="Buy")*(Transactions!$B:$B&lt;&gt;"")),1,1),243),"")</f>
        <v/>
      </c>
      <c r="B244">
        <f>IF(A244="","",INDEX(SORT(FILTER(Transactions!$A:$G,(Transactions!$C:$C="Buy")*(Transactions!$B:$B&lt;&gt;"")),2,1),243,1))</f>
        <v/>
      </c>
      <c r="C244">
        <f>IF(A244="","",INDEX(SORT(FILTER(Transactions!$A:$G,(Transactions!$C:$C="Buy")*(Transactions!$B:$B&lt;&gt;"")),2,1),243,4))</f>
        <v/>
      </c>
      <c r="D244">
        <f>IF(A244="","",INDEX(SORT(FILTER(Transactions!$A:$G,(Transactions!$C:$C="Buy")*(Transactions!$B:$B&lt;&gt;"")),2,1),243,5))</f>
        <v/>
      </c>
      <c r="E244">
        <f>IF(C244="","",C244*D244)</f>
        <v/>
      </c>
      <c r="F244">
        <f>IF(A244="","",SUMIFS(C$2:C244,A$2:A244,A244,B$2:B244,"&lt;="&amp;B244))</f>
        <v/>
      </c>
      <c r="G244">
        <f>IF(A244="","",SUMIFS(Transactions!$D:$D,Transactions!$B:$B,A244,Transactions!$C:$C,"Sell"))</f>
        <v/>
      </c>
      <c r="H244">
        <f>IF(A244="","",MAX(0,MIN(C244,G244-SUM(H$2:H243))))</f>
        <v/>
      </c>
      <c r="I244">
        <f>IF(C244="","",C244-H244)</f>
        <v/>
      </c>
      <c r="J244">
        <f>IF(I244="","",I244*D244)</f>
        <v/>
      </c>
    </row>
    <row r="245">
      <c r="A245">
        <f>IFERROR(INDEX(SORT(FILTER(Transactions!$B:$B,(Transactions!$C:$C="Buy")*(Transactions!$B:$B&lt;&gt;"")),1,1),244),"")</f>
        <v/>
      </c>
      <c r="B245">
        <f>IF(A245="","",INDEX(SORT(FILTER(Transactions!$A:$G,(Transactions!$C:$C="Buy")*(Transactions!$B:$B&lt;&gt;"")),2,1),244,1))</f>
        <v/>
      </c>
      <c r="C245">
        <f>IF(A245="","",INDEX(SORT(FILTER(Transactions!$A:$G,(Transactions!$C:$C="Buy")*(Transactions!$B:$B&lt;&gt;"")),2,1),244,4))</f>
        <v/>
      </c>
      <c r="D245">
        <f>IF(A245="","",INDEX(SORT(FILTER(Transactions!$A:$G,(Transactions!$C:$C="Buy")*(Transactions!$B:$B&lt;&gt;"")),2,1),244,5))</f>
        <v/>
      </c>
      <c r="E245">
        <f>IF(C245="","",C245*D245)</f>
        <v/>
      </c>
      <c r="F245">
        <f>IF(A245="","",SUMIFS(C$2:C245,A$2:A245,A245,B$2:B245,"&lt;="&amp;B245))</f>
        <v/>
      </c>
      <c r="G245">
        <f>IF(A245="","",SUMIFS(Transactions!$D:$D,Transactions!$B:$B,A245,Transactions!$C:$C,"Sell"))</f>
        <v/>
      </c>
      <c r="H245">
        <f>IF(A245="","",MAX(0,MIN(C245,G245-SUM(H$2:H244))))</f>
        <v/>
      </c>
      <c r="I245">
        <f>IF(C245="","",C245-H245)</f>
        <v/>
      </c>
      <c r="J245">
        <f>IF(I245="","",I245*D245)</f>
        <v/>
      </c>
    </row>
    <row r="246">
      <c r="A246">
        <f>IFERROR(INDEX(SORT(FILTER(Transactions!$B:$B,(Transactions!$C:$C="Buy")*(Transactions!$B:$B&lt;&gt;"")),1,1),245),"")</f>
        <v/>
      </c>
      <c r="B246">
        <f>IF(A246="","",INDEX(SORT(FILTER(Transactions!$A:$G,(Transactions!$C:$C="Buy")*(Transactions!$B:$B&lt;&gt;"")),2,1),245,1))</f>
        <v/>
      </c>
      <c r="C246">
        <f>IF(A246="","",INDEX(SORT(FILTER(Transactions!$A:$G,(Transactions!$C:$C="Buy")*(Transactions!$B:$B&lt;&gt;"")),2,1),245,4))</f>
        <v/>
      </c>
      <c r="D246">
        <f>IF(A246="","",INDEX(SORT(FILTER(Transactions!$A:$G,(Transactions!$C:$C="Buy")*(Transactions!$B:$B&lt;&gt;"")),2,1),245,5))</f>
        <v/>
      </c>
      <c r="E246">
        <f>IF(C246="","",C246*D246)</f>
        <v/>
      </c>
      <c r="F246">
        <f>IF(A246="","",SUMIFS(C$2:C246,A$2:A246,A246,B$2:B246,"&lt;="&amp;B246))</f>
        <v/>
      </c>
      <c r="G246">
        <f>IF(A246="","",SUMIFS(Transactions!$D:$D,Transactions!$B:$B,A246,Transactions!$C:$C,"Sell"))</f>
        <v/>
      </c>
      <c r="H246">
        <f>IF(A246="","",MAX(0,MIN(C246,G246-SUM(H$2:H245))))</f>
        <v/>
      </c>
      <c r="I246">
        <f>IF(C246="","",C246-H246)</f>
        <v/>
      </c>
      <c r="J246">
        <f>IF(I246="","",I246*D246)</f>
        <v/>
      </c>
    </row>
    <row r="247">
      <c r="A247">
        <f>IFERROR(INDEX(SORT(FILTER(Transactions!$B:$B,(Transactions!$C:$C="Buy")*(Transactions!$B:$B&lt;&gt;"")),1,1),246),"")</f>
        <v/>
      </c>
      <c r="B247">
        <f>IF(A247="","",INDEX(SORT(FILTER(Transactions!$A:$G,(Transactions!$C:$C="Buy")*(Transactions!$B:$B&lt;&gt;"")),2,1),246,1))</f>
        <v/>
      </c>
      <c r="C247">
        <f>IF(A247="","",INDEX(SORT(FILTER(Transactions!$A:$G,(Transactions!$C:$C="Buy")*(Transactions!$B:$B&lt;&gt;"")),2,1),246,4))</f>
        <v/>
      </c>
      <c r="D247">
        <f>IF(A247="","",INDEX(SORT(FILTER(Transactions!$A:$G,(Transactions!$C:$C="Buy")*(Transactions!$B:$B&lt;&gt;"")),2,1),246,5))</f>
        <v/>
      </c>
      <c r="E247">
        <f>IF(C247="","",C247*D247)</f>
        <v/>
      </c>
      <c r="F247">
        <f>IF(A247="","",SUMIFS(C$2:C247,A$2:A247,A247,B$2:B247,"&lt;="&amp;B247))</f>
        <v/>
      </c>
      <c r="G247">
        <f>IF(A247="","",SUMIFS(Transactions!$D:$D,Transactions!$B:$B,A247,Transactions!$C:$C,"Sell"))</f>
        <v/>
      </c>
      <c r="H247">
        <f>IF(A247="","",MAX(0,MIN(C247,G247-SUM(H$2:H246))))</f>
        <v/>
      </c>
      <c r="I247">
        <f>IF(C247="","",C247-H247)</f>
        <v/>
      </c>
      <c r="J247">
        <f>IF(I247="","",I247*D247)</f>
        <v/>
      </c>
    </row>
    <row r="248">
      <c r="A248">
        <f>IFERROR(INDEX(SORT(FILTER(Transactions!$B:$B,(Transactions!$C:$C="Buy")*(Transactions!$B:$B&lt;&gt;"")),1,1),247),"")</f>
        <v/>
      </c>
      <c r="B248">
        <f>IF(A248="","",INDEX(SORT(FILTER(Transactions!$A:$G,(Transactions!$C:$C="Buy")*(Transactions!$B:$B&lt;&gt;"")),2,1),247,1))</f>
        <v/>
      </c>
      <c r="C248">
        <f>IF(A248="","",INDEX(SORT(FILTER(Transactions!$A:$G,(Transactions!$C:$C="Buy")*(Transactions!$B:$B&lt;&gt;"")),2,1),247,4))</f>
        <v/>
      </c>
      <c r="D248">
        <f>IF(A248="","",INDEX(SORT(FILTER(Transactions!$A:$G,(Transactions!$C:$C="Buy")*(Transactions!$B:$B&lt;&gt;"")),2,1),247,5))</f>
        <v/>
      </c>
      <c r="E248">
        <f>IF(C248="","",C248*D248)</f>
        <v/>
      </c>
      <c r="F248">
        <f>IF(A248="","",SUMIFS(C$2:C248,A$2:A248,A248,B$2:B248,"&lt;="&amp;B248))</f>
        <v/>
      </c>
      <c r="G248">
        <f>IF(A248="","",SUMIFS(Transactions!$D:$D,Transactions!$B:$B,A248,Transactions!$C:$C,"Sell"))</f>
        <v/>
      </c>
      <c r="H248">
        <f>IF(A248="","",MAX(0,MIN(C248,G248-SUM(H$2:H247))))</f>
        <v/>
      </c>
      <c r="I248">
        <f>IF(C248="","",C248-H248)</f>
        <v/>
      </c>
      <c r="J248">
        <f>IF(I248="","",I248*D248)</f>
        <v/>
      </c>
    </row>
    <row r="249">
      <c r="A249">
        <f>IFERROR(INDEX(SORT(FILTER(Transactions!$B:$B,(Transactions!$C:$C="Buy")*(Transactions!$B:$B&lt;&gt;"")),1,1),248),"")</f>
        <v/>
      </c>
      <c r="B249">
        <f>IF(A249="","",INDEX(SORT(FILTER(Transactions!$A:$G,(Transactions!$C:$C="Buy")*(Transactions!$B:$B&lt;&gt;"")),2,1),248,1))</f>
        <v/>
      </c>
      <c r="C249">
        <f>IF(A249="","",INDEX(SORT(FILTER(Transactions!$A:$G,(Transactions!$C:$C="Buy")*(Transactions!$B:$B&lt;&gt;"")),2,1),248,4))</f>
        <v/>
      </c>
      <c r="D249">
        <f>IF(A249="","",INDEX(SORT(FILTER(Transactions!$A:$G,(Transactions!$C:$C="Buy")*(Transactions!$B:$B&lt;&gt;"")),2,1),248,5))</f>
        <v/>
      </c>
      <c r="E249">
        <f>IF(C249="","",C249*D249)</f>
        <v/>
      </c>
      <c r="F249">
        <f>IF(A249="","",SUMIFS(C$2:C249,A$2:A249,A249,B$2:B249,"&lt;="&amp;B249))</f>
        <v/>
      </c>
      <c r="G249">
        <f>IF(A249="","",SUMIFS(Transactions!$D:$D,Transactions!$B:$B,A249,Transactions!$C:$C,"Sell"))</f>
        <v/>
      </c>
      <c r="H249">
        <f>IF(A249="","",MAX(0,MIN(C249,G249-SUM(H$2:H248))))</f>
        <v/>
      </c>
      <c r="I249">
        <f>IF(C249="","",C249-H249)</f>
        <v/>
      </c>
      <c r="J249">
        <f>IF(I249="","",I249*D249)</f>
        <v/>
      </c>
    </row>
    <row r="250">
      <c r="A250">
        <f>IFERROR(INDEX(SORT(FILTER(Transactions!$B:$B,(Transactions!$C:$C="Buy")*(Transactions!$B:$B&lt;&gt;"")),1,1),249),"")</f>
        <v/>
      </c>
      <c r="B250">
        <f>IF(A250="","",INDEX(SORT(FILTER(Transactions!$A:$G,(Transactions!$C:$C="Buy")*(Transactions!$B:$B&lt;&gt;"")),2,1),249,1))</f>
        <v/>
      </c>
      <c r="C250">
        <f>IF(A250="","",INDEX(SORT(FILTER(Transactions!$A:$G,(Transactions!$C:$C="Buy")*(Transactions!$B:$B&lt;&gt;"")),2,1),249,4))</f>
        <v/>
      </c>
      <c r="D250">
        <f>IF(A250="","",INDEX(SORT(FILTER(Transactions!$A:$G,(Transactions!$C:$C="Buy")*(Transactions!$B:$B&lt;&gt;"")),2,1),249,5))</f>
        <v/>
      </c>
      <c r="E250">
        <f>IF(C250="","",C250*D250)</f>
        <v/>
      </c>
      <c r="F250">
        <f>IF(A250="","",SUMIFS(C$2:C250,A$2:A250,A250,B$2:B250,"&lt;="&amp;B250))</f>
        <v/>
      </c>
      <c r="G250">
        <f>IF(A250="","",SUMIFS(Transactions!$D:$D,Transactions!$B:$B,A250,Transactions!$C:$C,"Sell"))</f>
        <v/>
      </c>
      <c r="H250">
        <f>IF(A250="","",MAX(0,MIN(C250,G250-SUM(H$2:H249))))</f>
        <v/>
      </c>
      <c r="I250">
        <f>IF(C250="","",C250-H250)</f>
        <v/>
      </c>
      <c r="J250">
        <f>IF(I250="","",I250*D250)</f>
        <v/>
      </c>
    </row>
    <row r="251">
      <c r="A251">
        <f>IFERROR(INDEX(SORT(FILTER(Transactions!$B:$B,(Transactions!$C:$C="Buy")*(Transactions!$B:$B&lt;&gt;"")),1,1),250),"")</f>
        <v/>
      </c>
      <c r="B251">
        <f>IF(A251="","",INDEX(SORT(FILTER(Transactions!$A:$G,(Transactions!$C:$C="Buy")*(Transactions!$B:$B&lt;&gt;"")),2,1),250,1))</f>
        <v/>
      </c>
      <c r="C251">
        <f>IF(A251="","",INDEX(SORT(FILTER(Transactions!$A:$G,(Transactions!$C:$C="Buy")*(Transactions!$B:$B&lt;&gt;"")),2,1),250,4))</f>
        <v/>
      </c>
      <c r="D251">
        <f>IF(A251="","",INDEX(SORT(FILTER(Transactions!$A:$G,(Transactions!$C:$C="Buy")*(Transactions!$B:$B&lt;&gt;"")),2,1),250,5))</f>
        <v/>
      </c>
      <c r="E251">
        <f>IF(C251="","",C251*D251)</f>
        <v/>
      </c>
      <c r="F251">
        <f>IF(A251="","",SUMIFS(C$2:C251,A$2:A251,A251,B$2:B251,"&lt;="&amp;B251))</f>
        <v/>
      </c>
      <c r="G251">
        <f>IF(A251="","",SUMIFS(Transactions!$D:$D,Transactions!$B:$B,A251,Transactions!$C:$C,"Sell"))</f>
        <v/>
      </c>
      <c r="H251">
        <f>IF(A251="","",MAX(0,MIN(C251,G251-SUM(H$2:H250))))</f>
        <v/>
      </c>
      <c r="I251">
        <f>IF(C251="","",C251-H251)</f>
        <v/>
      </c>
      <c r="J251">
        <f>IF(I251="","",I251*D251)</f>
        <v/>
      </c>
    </row>
    <row r="252">
      <c r="A252">
        <f>IFERROR(INDEX(SORT(FILTER(Transactions!$B:$B,(Transactions!$C:$C="Buy")*(Transactions!$B:$B&lt;&gt;"")),1,1),251),"")</f>
        <v/>
      </c>
      <c r="B252">
        <f>IF(A252="","",INDEX(SORT(FILTER(Transactions!$A:$G,(Transactions!$C:$C="Buy")*(Transactions!$B:$B&lt;&gt;"")),2,1),251,1))</f>
        <v/>
      </c>
      <c r="C252">
        <f>IF(A252="","",INDEX(SORT(FILTER(Transactions!$A:$G,(Transactions!$C:$C="Buy")*(Transactions!$B:$B&lt;&gt;"")),2,1),251,4))</f>
        <v/>
      </c>
      <c r="D252">
        <f>IF(A252="","",INDEX(SORT(FILTER(Transactions!$A:$G,(Transactions!$C:$C="Buy")*(Transactions!$B:$B&lt;&gt;"")),2,1),251,5))</f>
        <v/>
      </c>
      <c r="E252">
        <f>IF(C252="","",C252*D252)</f>
        <v/>
      </c>
      <c r="F252">
        <f>IF(A252="","",SUMIFS(C$2:C252,A$2:A252,A252,B$2:B252,"&lt;="&amp;B252))</f>
        <v/>
      </c>
      <c r="G252">
        <f>IF(A252="","",SUMIFS(Transactions!$D:$D,Transactions!$B:$B,A252,Transactions!$C:$C,"Sell"))</f>
        <v/>
      </c>
      <c r="H252">
        <f>IF(A252="","",MAX(0,MIN(C252,G252-SUM(H$2:H251))))</f>
        <v/>
      </c>
      <c r="I252">
        <f>IF(C252="","",C252-H252)</f>
        <v/>
      </c>
      <c r="J252">
        <f>IF(I252="","",I252*D252)</f>
        <v/>
      </c>
    </row>
    <row r="253">
      <c r="A253">
        <f>IFERROR(INDEX(SORT(FILTER(Transactions!$B:$B,(Transactions!$C:$C="Buy")*(Transactions!$B:$B&lt;&gt;"")),1,1),252),"")</f>
        <v/>
      </c>
      <c r="B253">
        <f>IF(A253="","",INDEX(SORT(FILTER(Transactions!$A:$G,(Transactions!$C:$C="Buy")*(Transactions!$B:$B&lt;&gt;"")),2,1),252,1))</f>
        <v/>
      </c>
      <c r="C253">
        <f>IF(A253="","",INDEX(SORT(FILTER(Transactions!$A:$G,(Transactions!$C:$C="Buy")*(Transactions!$B:$B&lt;&gt;"")),2,1),252,4))</f>
        <v/>
      </c>
      <c r="D253">
        <f>IF(A253="","",INDEX(SORT(FILTER(Transactions!$A:$G,(Transactions!$C:$C="Buy")*(Transactions!$B:$B&lt;&gt;"")),2,1),252,5))</f>
        <v/>
      </c>
      <c r="E253">
        <f>IF(C253="","",C253*D253)</f>
        <v/>
      </c>
      <c r="F253">
        <f>IF(A253="","",SUMIFS(C$2:C253,A$2:A253,A253,B$2:B253,"&lt;="&amp;B253))</f>
        <v/>
      </c>
      <c r="G253">
        <f>IF(A253="","",SUMIFS(Transactions!$D:$D,Transactions!$B:$B,A253,Transactions!$C:$C,"Sell"))</f>
        <v/>
      </c>
      <c r="H253">
        <f>IF(A253="","",MAX(0,MIN(C253,G253-SUM(H$2:H252))))</f>
        <v/>
      </c>
      <c r="I253">
        <f>IF(C253="","",C253-H253)</f>
        <v/>
      </c>
      <c r="J253">
        <f>IF(I253="","",I253*D253)</f>
        <v/>
      </c>
    </row>
    <row r="254">
      <c r="A254">
        <f>IFERROR(INDEX(SORT(FILTER(Transactions!$B:$B,(Transactions!$C:$C="Buy")*(Transactions!$B:$B&lt;&gt;"")),1,1),253),"")</f>
        <v/>
      </c>
      <c r="B254">
        <f>IF(A254="","",INDEX(SORT(FILTER(Transactions!$A:$G,(Transactions!$C:$C="Buy")*(Transactions!$B:$B&lt;&gt;"")),2,1),253,1))</f>
        <v/>
      </c>
      <c r="C254">
        <f>IF(A254="","",INDEX(SORT(FILTER(Transactions!$A:$G,(Transactions!$C:$C="Buy")*(Transactions!$B:$B&lt;&gt;"")),2,1),253,4))</f>
        <v/>
      </c>
      <c r="D254">
        <f>IF(A254="","",INDEX(SORT(FILTER(Transactions!$A:$G,(Transactions!$C:$C="Buy")*(Transactions!$B:$B&lt;&gt;"")),2,1),253,5))</f>
        <v/>
      </c>
      <c r="E254">
        <f>IF(C254="","",C254*D254)</f>
        <v/>
      </c>
      <c r="F254">
        <f>IF(A254="","",SUMIFS(C$2:C254,A$2:A254,A254,B$2:B254,"&lt;="&amp;B254))</f>
        <v/>
      </c>
      <c r="G254">
        <f>IF(A254="","",SUMIFS(Transactions!$D:$D,Transactions!$B:$B,A254,Transactions!$C:$C,"Sell"))</f>
        <v/>
      </c>
      <c r="H254">
        <f>IF(A254="","",MAX(0,MIN(C254,G254-SUM(H$2:H253))))</f>
        <v/>
      </c>
      <c r="I254">
        <f>IF(C254="","",C254-H254)</f>
        <v/>
      </c>
      <c r="J254">
        <f>IF(I254="","",I254*D254)</f>
        <v/>
      </c>
    </row>
    <row r="255">
      <c r="A255">
        <f>IFERROR(INDEX(SORT(FILTER(Transactions!$B:$B,(Transactions!$C:$C="Buy")*(Transactions!$B:$B&lt;&gt;"")),1,1),254),"")</f>
        <v/>
      </c>
      <c r="B255">
        <f>IF(A255="","",INDEX(SORT(FILTER(Transactions!$A:$G,(Transactions!$C:$C="Buy")*(Transactions!$B:$B&lt;&gt;"")),2,1),254,1))</f>
        <v/>
      </c>
      <c r="C255">
        <f>IF(A255="","",INDEX(SORT(FILTER(Transactions!$A:$G,(Transactions!$C:$C="Buy")*(Transactions!$B:$B&lt;&gt;"")),2,1),254,4))</f>
        <v/>
      </c>
      <c r="D255">
        <f>IF(A255="","",INDEX(SORT(FILTER(Transactions!$A:$G,(Transactions!$C:$C="Buy")*(Transactions!$B:$B&lt;&gt;"")),2,1),254,5))</f>
        <v/>
      </c>
      <c r="E255">
        <f>IF(C255="","",C255*D255)</f>
        <v/>
      </c>
      <c r="F255">
        <f>IF(A255="","",SUMIFS(C$2:C255,A$2:A255,A255,B$2:B255,"&lt;="&amp;B255))</f>
        <v/>
      </c>
      <c r="G255">
        <f>IF(A255="","",SUMIFS(Transactions!$D:$D,Transactions!$B:$B,A255,Transactions!$C:$C,"Sell"))</f>
        <v/>
      </c>
      <c r="H255">
        <f>IF(A255="","",MAX(0,MIN(C255,G255-SUM(H$2:H254))))</f>
        <v/>
      </c>
      <c r="I255">
        <f>IF(C255="","",C255-H255)</f>
        <v/>
      </c>
      <c r="J255">
        <f>IF(I255="","",I255*D255)</f>
        <v/>
      </c>
    </row>
    <row r="256">
      <c r="A256">
        <f>IFERROR(INDEX(SORT(FILTER(Transactions!$B:$B,(Transactions!$C:$C="Buy")*(Transactions!$B:$B&lt;&gt;"")),1,1),255),"")</f>
        <v/>
      </c>
      <c r="B256">
        <f>IF(A256="","",INDEX(SORT(FILTER(Transactions!$A:$G,(Transactions!$C:$C="Buy")*(Transactions!$B:$B&lt;&gt;"")),2,1),255,1))</f>
        <v/>
      </c>
      <c r="C256">
        <f>IF(A256="","",INDEX(SORT(FILTER(Transactions!$A:$G,(Transactions!$C:$C="Buy")*(Transactions!$B:$B&lt;&gt;"")),2,1),255,4))</f>
        <v/>
      </c>
      <c r="D256">
        <f>IF(A256="","",INDEX(SORT(FILTER(Transactions!$A:$G,(Transactions!$C:$C="Buy")*(Transactions!$B:$B&lt;&gt;"")),2,1),255,5))</f>
        <v/>
      </c>
      <c r="E256">
        <f>IF(C256="","",C256*D256)</f>
        <v/>
      </c>
      <c r="F256">
        <f>IF(A256="","",SUMIFS(C$2:C256,A$2:A256,A256,B$2:B256,"&lt;="&amp;B256))</f>
        <v/>
      </c>
      <c r="G256">
        <f>IF(A256="","",SUMIFS(Transactions!$D:$D,Transactions!$B:$B,A256,Transactions!$C:$C,"Sell"))</f>
        <v/>
      </c>
      <c r="H256">
        <f>IF(A256="","",MAX(0,MIN(C256,G256-SUM(H$2:H255))))</f>
        <v/>
      </c>
      <c r="I256">
        <f>IF(C256="","",C256-H256)</f>
        <v/>
      </c>
      <c r="J256">
        <f>IF(I256="","",I256*D256)</f>
        <v/>
      </c>
    </row>
    <row r="257">
      <c r="A257">
        <f>IFERROR(INDEX(SORT(FILTER(Transactions!$B:$B,(Transactions!$C:$C="Buy")*(Transactions!$B:$B&lt;&gt;"")),1,1),256),"")</f>
        <v/>
      </c>
      <c r="B257">
        <f>IF(A257="","",INDEX(SORT(FILTER(Transactions!$A:$G,(Transactions!$C:$C="Buy")*(Transactions!$B:$B&lt;&gt;"")),2,1),256,1))</f>
        <v/>
      </c>
      <c r="C257">
        <f>IF(A257="","",INDEX(SORT(FILTER(Transactions!$A:$G,(Transactions!$C:$C="Buy")*(Transactions!$B:$B&lt;&gt;"")),2,1),256,4))</f>
        <v/>
      </c>
      <c r="D257">
        <f>IF(A257="","",INDEX(SORT(FILTER(Transactions!$A:$G,(Transactions!$C:$C="Buy")*(Transactions!$B:$B&lt;&gt;"")),2,1),256,5))</f>
        <v/>
      </c>
      <c r="E257">
        <f>IF(C257="","",C257*D257)</f>
        <v/>
      </c>
      <c r="F257">
        <f>IF(A257="","",SUMIFS(C$2:C257,A$2:A257,A257,B$2:B257,"&lt;="&amp;B257))</f>
        <v/>
      </c>
      <c r="G257">
        <f>IF(A257="","",SUMIFS(Transactions!$D:$D,Transactions!$B:$B,A257,Transactions!$C:$C,"Sell"))</f>
        <v/>
      </c>
      <c r="H257">
        <f>IF(A257="","",MAX(0,MIN(C257,G257-SUM(H$2:H256))))</f>
        <v/>
      </c>
      <c r="I257">
        <f>IF(C257="","",C257-H257)</f>
        <v/>
      </c>
      <c r="J257">
        <f>IF(I257="","",I257*D257)</f>
        <v/>
      </c>
    </row>
    <row r="258">
      <c r="A258">
        <f>IFERROR(INDEX(SORT(FILTER(Transactions!$B:$B,(Transactions!$C:$C="Buy")*(Transactions!$B:$B&lt;&gt;"")),1,1),257),"")</f>
        <v/>
      </c>
      <c r="B258">
        <f>IF(A258="","",INDEX(SORT(FILTER(Transactions!$A:$G,(Transactions!$C:$C="Buy")*(Transactions!$B:$B&lt;&gt;"")),2,1),257,1))</f>
        <v/>
      </c>
      <c r="C258">
        <f>IF(A258="","",INDEX(SORT(FILTER(Transactions!$A:$G,(Transactions!$C:$C="Buy")*(Transactions!$B:$B&lt;&gt;"")),2,1),257,4))</f>
        <v/>
      </c>
      <c r="D258">
        <f>IF(A258="","",INDEX(SORT(FILTER(Transactions!$A:$G,(Transactions!$C:$C="Buy")*(Transactions!$B:$B&lt;&gt;"")),2,1),257,5))</f>
        <v/>
      </c>
      <c r="E258">
        <f>IF(C258="","",C258*D258)</f>
        <v/>
      </c>
      <c r="F258">
        <f>IF(A258="","",SUMIFS(C$2:C258,A$2:A258,A258,B$2:B258,"&lt;="&amp;B258))</f>
        <v/>
      </c>
      <c r="G258">
        <f>IF(A258="","",SUMIFS(Transactions!$D:$D,Transactions!$B:$B,A258,Transactions!$C:$C,"Sell"))</f>
        <v/>
      </c>
      <c r="H258">
        <f>IF(A258="","",MAX(0,MIN(C258,G258-SUM(H$2:H257))))</f>
        <v/>
      </c>
      <c r="I258">
        <f>IF(C258="","",C258-H258)</f>
        <v/>
      </c>
      <c r="J258">
        <f>IF(I258="","",I258*D258)</f>
        <v/>
      </c>
    </row>
    <row r="259">
      <c r="A259">
        <f>IFERROR(INDEX(SORT(FILTER(Transactions!$B:$B,(Transactions!$C:$C="Buy")*(Transactions!$B:$B&lt;&gt;"")),1,1),258),"")</f>
        <v/>
      </c>
      <c r="B259">
        <f>IF(A259="","",INDEX(SORT(FILTER(Transactions!$A:$G,(Transactions!$C:$C="Buy")*(Transactions!$B:$B&lt;&gt;"")),2,1),258,1))</f>
        <v/>
      </c>
      <c r="C259">
        <f>IF(A259="","",INDEX(SORT(FILTER(Transactions!$A:$G,(Transactions!$C:$C="Buy")*(Transactions!$B:$B&lt;&gt;"")),2,1),258,4))</f>
        <v/>
      </c>
      <c r="D259">
        <f>IF(A259="","",INDEX(SORT(FILTER(Transactions!$A:$G,(Transactions!$C:$C="Buy")*(Transactions!$B:$B&lt;&gt;"")),2,1),258,5))</f>
        <v/>
      </c>
      <c r="E259">
        <f>IF(C259="","",C259*D259)</f>
        <v/>
      </c>
      <c r="F259">
        <f>IF(A259="","",SUMIFS(C$2:C259,A$2:A259,A259,B$2:B259,"&lt;="&amp;B259))</f>
        <v/>
      </c>
      <c r="G259">
        <f>IF(A259="","",SUMIFS(Transactions!$D:$D,Transactions!$B:$B,A259,Transactions!$C:$C,"Sell"))</f>
        <v/>
      </c>
      <c r="H259">
        <f>IF(A259="","",MAX(0,MIN(C259,G259-SUM(H$2:H258))))</f>
        <v/>
      </c>
      <c r="I259">
        <f>IF(C259="","",C259-H259)</f>
        <v/>
      </c>
      <c r="J259">
        <f>IF(I259="","",I259*D259)</f>
        <v/>
      </c>
    </row>
    <row r="260">
      <c r="A260">
        <f>IFERROR(INDEX(SORT(FILTER(Transactions!$B:$B,(Transactions!$C:$C="Buy")*(Transactions!$B:$B&lt;&gt;"")),1,1),259),"")</f>
        <v/>
      </c>
      <c r="B260">
        <f>IF(A260="","",INDEX(SORT(FILTER(Transactions!$A:$G,(Transactions!$C:$C="Buy")*(Transactions!$B:$B&lt;&gt;"")),2,1),259,1))</f>
        <v/>
      </c>
      <c r="C260">
        <f>IF(A260="","",INDEX(SORT(FILTER(Transactions!$A:$G,(Transactions!$C:$C="Buy")*(Transactions!$B:$B&lt;&gt;"")),2,1),259,4))</f>
        <v/>
      </c>
      <c r="D260">
        <f>IF(A260="","",INDEX(SORT(FILTER(Transactions!$A:$G,(Transactions!$C:$C="Buy")*(Transactions!$B:$B&lt;&gt;"")),2,1),259,5))</f>
        <v/>
      </c>
      <c r="E260">
        <f>IF(C260="","",C260*D260)</f>
        <v/>
      </c>
      <c r="F260">
        <f>IF(A260="","",SUMIFS(C$2:C260,A$2:A260,A260,B$2:B260,"&lt;="&amp;B260))</f>
        <v/>
      </c>
      <c r="G260">
        <f>IF(A260="","",SUMIFS(Transactions!$D:$D,Transactions!$B:$B,A260,Transactions!$C:$C,"Sell"))</f>
        <v/>
      </c>
      <c r="H260">
        <f>IF(A260="","",MAX(0,MIN(C260,G260-SUM(H$2:H259))))</f>
        <v/>
      </c>
      <c r="I260">
        <f>IF(C260="","",C260-H260)</f>
        <v/>
      </c>
      <c r="J260">
        <f>IF(I260="","",I260*D260)</f>
        <v/>
      </c>
    </row>
    <row r="261">
      <c r="A261">
        <f>IFERROR(INDEX(SORT(FILTER(Transactions!$B:$B,(Transactions!$C:$C="Buy")*(Transactions!$B:$B&lt;&gt;"")),1,1),260),"")</f>
        <v/>
      </c>
      <c r="B261">
        <f>IF(A261="","",INDEX(SORT(FILTER(Transactions!$A:$G,(Transactions!$C:$C="Buy")*(Transactions!$B:$B&lt;&gt;"")),2,1),260,1))</f>
        <v/>
      </c>
      <c r="C261">
        <f>IF(A261="","",INDEX(SORT(FILTER(Transactions!$A:$G,(Transactions!$C:$C="Buy")*(Transactions!$B:$B&lt;&gt;"")),2,1),260,4))</f>
        <v/>
      </c>
      <c r="D261">
        <f>IF(A261="","",INDEX(SORT(FILTER(Transactions!$A:$G,(Transactions!$C:$C="Buy")*(Transactions!$B:$B&lt;&gt;"")),2,1),260,5))</f>
        <v/>
      </c>
      <c r="E261">
        <f>IF(C261="","",C261*D261)</f>
        <v/>
      </c>
      <c r="F261">
        <f>IF(A261="","",SUMIFS(C$2:C261,A$2:A261,A261,B$2:B261,"&lt;="&amp;B261))</f>
        <v/>
      </c>
      <c r="G261">
        <f>IF(A261="","",SUMIFS(Transactions!$D:$D,Transactions!$B:$B,A261,Transactions!$C:$C,"Sell"))</f>
        <v/>
      </c>
      <c r="H261">
        <f>IF(A261="","",MAX(0,MIN(C261,G261-SUM(H$2:H260))))</f>
        <v/>
      </c>
      <c r="I261">
        <f>IF(C261="","",C261-H261)</f>
        <v/>
      </c>
      <c r="J261">
        <f>IF(I261="","",I261*D261)</f>
        <v/>
      </c>
    </row>
    <row r="262">
      <c r="A262">
        <f>IFERROR(INDEX(SORT(FILTER(Transactions!$B:$B,(Transactions!$C:$C="Buy")*(Transactions!$B:$B&lt;&gt;"")),1,1),261),"")</f>
        <v/>
      </c>
      <c r="B262">
        <f>IF(A262="","",INDEX(SORT(FILTER(Transactions!$A:$G,(Transactions!$C:$C="Buy")*(Transactions!$B:$B&lt;&gt;"")),2,1),261,1))</f>
        <v/>
      </c>
      <c r="C262">
        <f>IF(A262="","",INDEX(SORT(FILTER(Transactions!$A:$G,(Transactions!$C:$C="Buy")*(Transactions!$B:$B&lt;&gt;"")),2,1),261,4))</f>
        <v/>
      </c>
      <c r="D262">
        <f>IF(A262="","",INDEX(SORT(FILTER(Transactions!$A:$G,(Transactions!$C:$C="Buy")*(Transactions!$B:$B&lt;&gt;"")),2,1),261,5))</f>
        <v/>
      </c>
      <c r="E262">
        <f>IF(C262="","",C262*D262)</f>
        <v/>
      </c>
      <c r="F262">
        <f>IF(A262="","",SUMIFS(C$2:C262,A$2:A262,A262,B$2:B262,"&lt;="&amp;B262))</f>
        <v/>
      </c>
      <c r="G262">
        <f>IF(A262="","",SUMIFS(Transactions!$D:$D,Transactions!$B:$B,A262,Transactions!$C:$C,"Sell"))</f>
        <v/>
      </c>
      <c r="H262">
        <f>IF(A262="","",MAX(0,MIN(C262,G262-SUM(H$2:H261))))</f>
        <v/>
      </c>
      <c r="I262">
        <f>IF(C262="","",C262-H262)</f>
        <v/>
      </c>
      <c r="J262">
        <f>IF(I262="","",I262*D262)</f>
        <v/>
      </c>
    </row>
    <row r="263">
      <c r="A263">
        <f>IFERROR(INDEX(SORT(FILTER(Transactions!$B:$B,(Transactions!$C:$C="Buy")*(Transactions!$B:$B&lt;&gt;"")),1,1),262),"")</f>
        <v/>
      </c>
      <c r="B263">
        <f>IF(A263="","",INDEX(SORT(FILTER(Transactions!$A:$G,(Transactions!$C:$C="Buy")*(Transactions!$B:$B&lt;&gt;"")),2,1),262,1))</f>
        <v/>
      </c>
      <c r="C263">
        <f>IF(A263="","",INDEX(SORT(FILTER(Transactions!$A:$G,(Transactions!$C:$C="Buy")*(Transactions!$B:$B&lt;&gt;"")),2,1),262,4))</f>
        <v/>
      </c>
      <c r="D263">
        <f>IF(A263="","",INDEX(SORT(FILTER(Transactions!$A:$G,(Transactions!$C:$C="Buy")*(Transactions!$B:$B&lt;&gt;"")),2,1),262,5))</f>
        <v/>
      </c>
      <c r="E263">
        <f>IF(C263="","",C263*D263)</f>
        <v/>
      </c>
      <c r="F263">
        <f>IF(A263="","",SUMIFS(C$2:C263,A$2:A263,A263,B$2:B263,"&lt;="&amp;B263))</f>
        <v/>
      </c>
      <c r="G263">
        <f>IF(A263="","",SUMIFS(Transactions!$D:$D,Transactions!$B:$B,A263,Transactions!$C:$C,"Sell"))</f>
        <v/>
      </c>
      <c r="H263">
        <f>IF(A263="","",MAX(0,MIN(C263,G263-SUM(H$2:H262))))</f>
        <v/>
      </c>
      <c r="I263">
        <f>IF(C263="","",C263-H263)</f>
        <v/>
      </c>
      <c r="J263">
        <f>IF(I263="","",I263*D263)</f>
        <v/>
      </c>
    </row>
    <row r="264">
      <c r="A264">
        <f>IFERROR(INDEX(SORT(FILTER(Transactions!$B:$B,(Transactions!$C:$C="Buy")*(Transactions!$B:$B&lt;&gt;"")),1,1),263),"")</f>
        <v/>
      </c>
      <c r="B264">
        <f>IF(A264="","",INDEX(SORT(FILTER(Transactions!$A:$G,(Transactions!$C:$C="Buy")*(Transactions!$B:$B&lt;&gt;"")),2,1),263,1))</f>
        <v/>
      </c>
      <c r="C264">
        <f>IF(A264="","",INDEX(SORT(FILTER(Transactions!$A:$G,(Transactions!$C:$C="Buy")*(Transactions!$B:$B&lt;&gt;"")),2,1),263,4))</f>
        <v/>
      </c>
      <c r="D264">
        <f>IF(A264="","",INDEX(SORT(FILTER(Transactions!$A:$G,(Transactions!$C:$C="Buy")*(Transactions!$B:$B&lt;&gt;"")),2,1),263,5))</f>
        <v/>
      </c>
      <c r="E264">
        <f>IF(C264="","",C264*D264)</f>
        <v/>
      </c>
      <c r="F264">
        <f>IF(A264="","",SUMIFS(C$2:C264,A$2:A264,A264,B$2:B264,"&lt;="&amp;B264))</f>
        <v/>
      </c>
      <c r="G264">
        <f>IF(A264="","",SUMIFS(Transactions!$D:$D,Transactions!$B:$B,A264,Transactions!$C:$C,"Sell"))</f>
        <v/>
      </c>
      <c r="H264">
        <f>IF(A264="","",MAX(0,MIN(C264,G264-SUM(H$2:H263))))</f>
        <v/>
      </c>
      <c r="I264">
        <f>IF(C264="","",C264-H264)</f>
        <v/>
      </c>
      <c r="J264">
        <f>IF(I264="","",I264*D264)</f>
        <v/>
      </c>
    </row>
    <row r="265">
      <c r="A265">
        <f>IFERROR(INDEX(SORT(FILTER(Transactions!$B:$B,(Transactions!$C:$C="Buy")*(Transactions!$B:$B&lt;&gt;"")),1,1),264),"")</f>
        <v/>
      </c>
      <c r="B265">
        <f>IF(A265="","",INDEX(SORT(FILTER(Transactions!$A:$G,(Transactions!$C:$C="Buy")*(Transactions!$B:$B&lt;&gt;"")),2,1),264,1))</f>
        <v/>
      </c>
      <c r="C265">
        <f>IF(A265="","",INDEX(SORT(FILTER(Transactions!$A:$G,(Transactions!$C:$C="Buy")*(Transactions!$B:$B&lt;&gt;"")),2,1),264,4))</f>
        <v/>
      </c>
      <c r="D265">
        <f>IF(A265="","",INDEX(SORT(FILTER(Transactions!$A:$G,(Transactions!$C:$C="Buy")*(Transactions!$B:$B&lt;&gt;"")),2,1),264,5))</f>
        <v/>
      </c>
      <c r="E265">
        <f>IF(C265="","",C265*D265)</f>
        <v/>
      </c>
      <c r="F265">
        <f>IF(A265="","",SUMIFS(C$2:C265,A$2:A265,A265,B$2:B265,"&lt;="&amp;B265))</f>
        <v/>
      </c>
      <c r="G265">
        <f>IF(A265="","",SUMIFS(Transactions!$D:$D,Transactions!$B:$B,A265,Transactions!$C:$C,"Sell"))</f>
        <v/>
      </c>
      <c r="H265">
        <f>IF(A265="","",MAX(0,MIN(C265,G265-SUM(H$2:H264))))</f>
        <v/>
      </c>
      <c r="I265">
        <f>IF(C265="","",C265-H265)</f>
        <v/>
      </c>
      <c r="J265">
        <f>IF(I265="","",I265*D265)</f>
        <v/>
      </c>
    </row>
    <row r="266">
      <c r="A266">
        <f>IFERROR(INDEX(SORT(FILTER(Transactions!$B:$B,(Transactions!$C:$C="Buy")*(Transactions!$B:$B&lt;&gt;"")),1,1),265),"")</f>
        <v/>
      </c>
      <c r="B266">
        <f>IF(A266="","",INDEX(SORT(FILTER(Transactions!$A:$G,(Transactions!$C:$C="Buy")*(Transactions!$B:$B&lt;&gt;"")),2,1),265,1))</f>
        <v/>
      </c>
      <c r="C266">
        <f>IF(A266="","",INDEX(SORT(FILTER(Transactions!$A:$G,(Transactions!$C:$C="Buy")*(Transactions!$B:$B&lt;&gt;"")),2,1),265,4))</f>
        <v/>
      </c>
      <c r="D266">
        <f>IF(A266="","",INDEX(SORT(FILTER(Transactions!$A:$G,(Transactions!$C:$C="Buy")*(Transactions!$B:$B&lt;&gt;"")),2,1),265,5))</f>
        <v/>
      </c>
      <c r="E266">
        <f>IF(C266="","",C266*D266)</f>
        <v/>
      </c>
      <c r="F266">
        <f>IF(A266="","",SUMIFS(C$2:C266,A$2:A266,A266,B$2:B266,"&lt;="&amp;B266))</f>
        <v/>
      </c>
      <c r="G266">
        <f>IF(A266="","",SUMIFS(Transactions!$D:$D,Transactions!$B:$B,A266,Transactions!$C:$C,"Sell"))</f>
        <v/>
      </c>
      <c r="H266">
        <f>IF(A266="","",MAX(0,MIN(C266,G266-SUM(H$2:H265))))</f>
        <v/>
      </c>
      <c r="I266">
        <f>IF(C266="","",C266-H266)</f>
        <v/>
      </c>
      <c r="J266">
        <f>IF(I266="","",I266*D266)</f>
        <v/>
      </c>
    </row>
    <row r="267">
      <c r="A267">
        <f>IFERROR(INDEX(SORT(FILTER(Transactions!$B:$B,(Transactions!$C:$C="Buy")*(Transactions!$B:$B&lt;&gt;"")),1,1),266),"")</f>
        <v/>
      </c>
      <c r="B267">
        <f>IF(A267="","",INDEX(SORT(FILTER(Transactions!$A:$G,(Transactions!$C:$C="Buy")*(Transactions!$B:$B&lt;&gt;"")),2,1),266,1))</f>
        <v/>
      </c>
      <c r="C267">
        <f>IF(A267="","",INDEX(SORT(FILTER(Transactions!$A:$G,(Transactions!$C:$C="Buy")*(Transactions!$B:$B&lt;&gt;"")),2,1),266,4))</f>
        <v/>
      </c>
      <c r="D267">
        <f>IF(A267="","",INDEX(SORT(FILTER(Transactions!$A:$G,(Transactions!$C:$C="Buy")*(Transactions!$B:$B&lt;&gt;"")),2,1),266,5))</f>
        <v/>
      </c>
      <c r="E267">
        <f>IF(C267="","",C267*D267)</f>
        <v/>
      </c>
      <c r="F267">
        <f>IF(A267="","",SUMIFS(C$2:C267,A$2:A267,A267,B$2:B267,"&lt;="&amp;B267))</f>
        <v/>
      </c>
      <c r="G267">
        <f>IF(A267="","",SUMIFS(Transactions!$D:$D,Transactions!$B:$B,A267,Transactions!$C:$C,"Sell"))</f>
        <v/>
      </c>
      <c r="H267">
        <f>IF(A267="","",MAX(0,MIN(C267,G267-SUM(H$2:H266))))</f>
        <v/>
      </c>
      <c r="I267">
        <f>IF(C267="","",C267-H267)</f>
        <v/>
      </c>
      <c r="J267">
        <f>IF(I267="","",I267*D267)</f>
        <v/>
      </c>
    </row>
    <row r="268">
      <c r="A268">
        <f>IFERROR(INDEX(SORT(FILTER(Transactions!$B:$B,(Transactions!$C:$C="Buy")*(Transactions!$B:$B&lt;&gt;"")),1,1),267),"")</f>
        <v/>
      </c>
      <c r="B268">
        <f>IF(A268="","",INDEX(SORT(FILTER(Transactions!$A:$G,(Transactions!$C:$C="Buy")*(Transactions!$B:$B&lt;&gt;"")),2,1),267,1))</f>
        <v/>
      </c>
      <c r="C268">
        <f>IF(A268="","",INDEX(SORT(FILTER(Transactions!$A:$G,(Transactions!$C:$C="Buy")*(Transactions!$B:$B&lt;&gt;"")),2,1),267,4))</f>
        <v/>
      </c>
      <c r="D268">
        <f>IF(A268="","",INDEX(SORT(FILTER(Transactions!$A:$G,(Transactions!$C:$C="Buy")*(Transactions!$B:$B&lt;&gt;"")),2,1),267,5))</f>
        <v/>
      </c>
      <c r="E268">
        <f>IF(C268="","",C268*D268)</f>
        <v/>
      </c>
      <c r="F268">
        <f>IF(A268="","",SUMIFS(C$2:C268,A$2:A268,A268,B$2:B268,"&lt;="&amp;B268))</f>
        <v/>
      </c>
      <c r="G268">
        <f>IF(A268="","",SUMIFS(Transactions!$D:$D,Transactions!$B:$B,A268,Transactions!$C:$C,"Sell"))</f>
        <v/>
      </c>
      <c r="H268">
        <f>IF(A268="","",MAX(0,MIN(C268,G268-SUM(H$2:H267))))</f>
        <v/>
      </c>
      <c r="I268">
        <f>IF(C268="","",C268-H268)</f>
        <v/>
      </c>
      <c r="J268">
        <f>IF(I268="","",I268*D268)</f>
        <v/>
      </c>
    </row>
    <row r="269">
      <c r="A269">
        <f>IFERROR(INDEX(SORT(FILTER(Transactions!$B:$B,(Transactions!$C:$C="Buy")*(Transactions!$B:$B&lt;&gt;"")),1,1),268),"")</f>
        <v/>
      </c>
      <c r="B269">
        <f>IF(A269="","",INDEX(SORT(FILTER(Transactions!$A:$G,(Transactions!$C:$C="Buy")*(Transactions!$B:$B&lt;&gt;"")),2,1),268,1))</f>
        <v/>
      </c>
      <c r="C269">
        <f>IF(A269="","",INDEX(SORT(FILTER(Transactions!$A:$G,(Transactions!$C:$C="Buy")*(Transactions!$B:$B&lt;&gt;"")),2,1),268,4))</f>
        <v/>
      </c>
      <c r="D269">
        <f>IF(A269="","",INDEX(SORT(FILTER(Transactions!$A:$G,(Transactions!$C:$C="Buy")*(Transactions!$B:$B&lt;&gt;"")),2,1),268,5))</f>
        <v/>
      </c>
      <c r="E269">
        <f>IF(C269="","",C269*D269)</f>
        <v/>
      </c>
      <c r="F269">
        <f>IF(A269="","",SUMIFS(C$2:C269,A$2:A269,A269,B$2:B269,"&lt;="&amp;B269))</f>
        <v/>
      </c>
      <c r="G269">
        <f>IF(A269="","",SUMIFS(Transactions!$D:$D,Transactions!$B:$B,A269,Transactions!$C:$C,"Sell"))</f>
        <v/>
      </c>
      <c r="H269">
        <f>IF(A269="","",MAX(0,MIN(C269,G269-SUM(H$2:H268))))</f>
        <v/>
      </c>
      <c r="I269">
        <f>IF(C269="","",C269-H269)</f>
        <v/>
      </c>
      <c r="J269">
        <f>IF(I269="","",I269*D269)</f>
        <v/>
      </c>
    </row>
    <row r="270">
      <c r="A270">
        <f>IFERROR(INDEX(SORT(FILTER(Transactions!$B:$B,(Transactions!$C:$C="Buy")*(Transactions!$B:$B&lt;&gt;"")),1,1),269),"")</f>
        <v/>
      </c>
      <c r="B270">
        <f>IF(A270="","",INDEX(SORT(FILTER(Transactions!$A:$G,(Transactions!$C:$C="Buy")*(Transactions!$B:$B&lt;&gt;"")),2,1),269,1))</f>
        <v/>
      </c>
      <c r="C270">
        <f>IF(A270="","",INDEX(SORT(FILTER(Transactions!$A:$G,(Transactions!$C:$C="Buy")*(Transactions!$B:$B&lt;&gt;"")),2,1),269,4))</f>
        <v/>
      </c>
      <c r="D270">
        <f>IF(A270="","",INDEX(SORT(FILTER(Transactions!$A:$G,(Transactions!$C:$C="Buy")*(Transactions!$B:$B&lt;&gt;"")),2,1),269,5))</f>
        <v/>
      </c>
      <c r="E270">
        <f>IF(C270="","",C270*D270)</f>
        <v/>
      </c>
      <c r="F270">
        <f>IF(A270="","",SUMIFS(C$2:C270,A$2:A270,A270,B$2:B270,"&lt;="&amp;B270))</f>
        <v/>
      </c>
      <c r="G270">
        <f>IF(A270="","",SUMIFS(Transactions!$D:$D,Transactions!$B:$B,A270,Transactions!$C:$C,"Sell"))</f>
        <v/>
      </c>
      <c r="H270">
        <f>IF(A270="","",MAX(0,MIN(C270,G270-SUM(H$2:H269))))</f>
        <v/>
      </c>
      <c r="I270">
        <f>IF(C270="","",C270-H270)</f>
        <v/>
      </c>
      <c r="J270">
        <f>IF(I270="","",I270*D270)</f>
        <v/>
      </c>
    </row>
    <row r="271">
      <c r="A271">
        <f>IFERROR(INDEX(SORT(FILTER(Transactions!$B:$B,(Transactions!$C:$C="Buy")*(Transactions!$B:$B&lt;&gt;"")),1,1),270),"")</f>
        <v/>
      </c>
      <c r="B271">
        <f>IF(A271="","",INDEX(SORT(FILTER(Transactions!$A:$G,(Transactions!$C:$C="Buy")*(Transactions!$B:$B&lt;&gt;"")),2,1),270,1))</f>
        <v/>
      </c>
      <c r="C271">
        <f>IF(A271="","",INDEX(SORT(FILTER(Transactions!$A:$G,(Transactions!$C:$C="Buy")*(Transactions!$B:$B&lt;&gt;"")),2,1),270,4))</f>
        <v/>
      </c>
      <c r="D271">
        <f>IF(A271="","",INDEX(SORT(FILTER(Transactions!$A:$G,(Transactions!$C:$C="Buy")*(Transactions!$B:$B&lt;&gt;"")),2,1),270,5))</f>
        <v/>
      </c>
      <c r="E271">
        <f>IF(C271="","",C271*D271)</f>
        <v/>
      </c>
      <c r="F271">
        <f>IF(A271="","",SUMIFS(C$2:C271,A$2:A271,A271,B$2:B271,"&lt;="&amp;B271))</f>
        <v/>
      </c>
      <c r="G271">
        <f>IF(A271="","",SUMIFS(Transactions!$D:$D,Transactions!$B:$B,A271,Transactions!$C:$C,"Sell"))</f>
        <v/>
      </c>
      <c r="H271">
        <f>IF(A271="","",MAX(0,MIN(C271,G271-SUM(H$2:H270))))</f>
        <v/>
      </c>
      <c r="I271">
        <f>IF(C271="","",C271-H271)</f>
        <v/>
      </c>
      <c r="J271">
        <f>IF(I271="","",I271*D271)</f>
        <v/>
      </c>
    </row>
    <row r="272">
      <c r="A272">
        <f>IFERROR(INDEX(SORT(FILTER(Transactions!$B:$B,(Transactions!$C:$C="Buy")*(Transactions!$B:$B&lt;&gt;"")),1,1),271),"")</f>
        <v/>
      </c>
      <c r="B272">
        <f>IF(A272="","",INDEX(SORT(FILTER(Transactions!$A:$G,(Transactions!$C:$C="Buy")*(Transactions!$B:$B&lt;&gt;"")),2,1),271,1))</f>
        <v/>
      </c>
      <c r="C272">
        <f>IF(A272="","",INDEX(SORT(FILTER(Transactions!$A:$G,(Transactions!$C:$C="Buy")*(Transactions!$B:$B&lt;&gt;"")),2,1),271,4))</f>
        <v/>
      </c>
      <c r="D272">
        <f>IF(A272="","",INDEX(SORT(FILTER(Transactions!$A:$G,(Transactions!$C:$C="Buy")*(Transactions!$B:$B&lt;&gt;"")),2,1),271,5))</f>
        <v/>
      </c>
      <c r="E272">
        <f>IF(C272="","",C272*D272)</f>
        <v/>
      </c>
      <c r="F272">
        <f>IF(A272="","",SUMIFS(C$2:C272,A$2:A272,A272,B$2:B272,"&lt;="&amp;B272))</f>
        <v/>
      </c>
      <c r="G272">
        <f>IF(A272="","",SUMIFS(Transactions!$D:$D,Transactions!$B:$B,A272,Transactions!$C:$C,"Sell"))</f>
        <v/>
      </c>
      <c r="H272">
        <f>IF(A272="","",MAX(0,MIN(C272,G272-SUM(H$2:H271))))</f>
        <v/>
      </c>
      <c r="I272">
        <f>IF(C272="","",C272-H272)</f>
        <v/>
      </c>
      <c r="J272">
        <f>IF(I272="","",I272*D272)</f>
        <v/>
      </c>
    </row>
    <row r="273">
      <c r="A273">
        <f>IFERROR(INDEX(SORT(FILTER(Transactions!$B:$B,(Transactions!$C:$C="Buy")*(Transactions!$B:$B&lt;&gt;"")),1,1),272),"")</f>
        <v/>
      </c>
      <c r="B273">
        <f>IF(A273="","",INDEX(SORT(FILTER(Transactions!$A:$G,(Transactions!$C:$C="Buy")*(Transactions!$B:$B&lt;&gt;"")),2,1),272,1))</f>
        <v/>
      </c>
      <c r="C273">
        <f>IF(A273="","",INDEX(SORT(FILTER(Transactions!$A:$G,(Transactions!$C:$C="Buy")*(Transactions!$B:$B&lt;&gt;"")),2,1),272,4))</f>
        <v/>
      </c>
      <c r="D273">
        <f>IF(A273="","",INDEX(SORT(FILTER(Transactions!$A:$G,(Transactions!$C:$C="Buy")*(Transactions!$B:$B&lt;&gt;"")),2,1),272,5))</f>
        <v/>
      </c>
      <c r="E273">
        <f>IF(C273="","",C273*D273)</f>
        <v/>
      </c>
      <c r="F273">
        <f>IF(A273="","",SUMIFS(C$2:C273,A$2:A273,A273,B$2:B273,"&lt;="&amp;B273))</f>
        <v/>
      </c>
      <c r="G273">
        <f>IF(A273="","",SUMIFS(Transactions!$D:$D,Transactions!$B:$B,A273,Transactions!$C:$C,"Sell"))</f>
        <v/>
      </c>
      <c r="H273">
        <f>IF(A273="","",MAX(0,MIN(C273,G273-SUM(H$2:H272))))</f>
        <v/>
      </c>
      <c r="I273">
        <f>IF(C273="","",C273-H273)</f>
        <v/>
      </c>
      <c r="J273">
        <f>IF(I273="","",I273*D273)</f>
        <v/>
      </c>
    </row>
    <row r="274">
      <c r="A274">
        <f>IFERROR(INDEX(SORT(FILTER(Transactions!$B:$B,(Transactions!$C:$C="Buy")*(Transactions!$B:$B&lt;&gt;"")),1,1),273),"")</f>
        <v/>
      </c>
      <c r="B274">
        <f>IF(A274="","",INDEX(SORT(FILTER(Transactions!$A:$G,(Transactions!$C:$C="Buy")*(Transactions!$B:$B&lt;&gt;"")),2,1),273,1))</f>
        <v/>
      </c>
      <c r="C274">
        <f>IF(A274="","",INDEX(SORT(FILTER(Transactions!$A:$G,(Transactions!$C:$C="Buy")*(Transactions!$B:$B&lt;&gt;"")),2,1),273,4))</f>
        <v/>
      </c>
      <c r="D274">
        <f>IF(A274="","",INDEX(SORT(FILTER(Transactions!$A:$G,(Transactions!$C:$C="Buy")*(Transactions!$B:$B&lt;&gt;"")),2,1),273,5))</f>
        <v/>
      </c>
      <c r="E274">
        <f>IF(C274="","",C274*D274)</f>
        <v/>
      </c>
      <c r="F274">
        <f>IF(A274="","",SUMIFS(C$2:C274,A$2:A274,A274,B$2:B274,"&lt;="&amp;B274))</f>
        <v/>
      </c>
      <c r="G274">
        <f>IF(A274="","",SUMIFS(Transactions!$D:$D,Transactions!$B:$B,A274,Transactions!$C:$C,"Sell"))</f>
        <v/>
      </c>
      <c r="H274">
        <f>IF(A274="","",MAX(0,MIN(C274,G274-SUM(H$2:H273))))</f>
        <v/>
      </c>
      <c r="I274">
        <f>IF(C274="","",C274-H274)</f>
        <v/>
      </c>
      <c r="J274">
        <f>IF(I274="","",I274*D274)</f>
        <v/>
      </c>
    </row>
    <row r="275">
      <c r="A275">
        <f>IFERROR(INDEX(SORT(FILTER(Transactions!$B:$B,(Transactions!$C:$C="Buy")*(Transactions!$B:$B&lt;&gt;"")),1,1),274),"")</f>
        <v/>
      </c>
      <c r="B275">
        <f>IF(A275="","",INDEX(SORT(FILTER(Transactions!$A:$G,(Transactions!$C:$C="Buy")*(Transactions!$B:$B&lt;&gt;"")),2,1),274,1))</f>
        <v/>
      </c>
      <c r="C275">
        <f>IF(A275="","",INDEX(SORT(FILTER(Transactions!$A:$G,(Transactions!$C:$C="Buy")*(Transactions!$B:$B&lt;&gt;"")),2,1),274,4))</f>
        <v/>
      </c>
      <c r="D275">
        <f>IF(A275="","",INDEX(SORT(FILTER(Transactions!$A:$G,(Transactions!$C:$C="Buy")*(Transactions!$B:$B&lt;&gt;"")),2,1),274,5))</f>
        <v/>
      </c>
      <c r="E275">
        <f>IF(C275="","",C275*D275)</f>
        <v/>
      </c>
      <c r="F275">
        <f>IF(A275="","",SUMIFS(C$2:C275,A$2:A275,A275,B$2:B275,"&lt;="&amp;B275))</f>
        <v/>
      </c>
      <c r="G275">
        <f>IF(A275="","",SUMIFS(Transactions!$D:$D,Transactions!$B:$B,A275,Transactions!$C:$C,"Sell"))</f>
        <v/>
      </c>
      <c r="H275">
        <f>IF(A275="","",MAX(0,MIN(C275,G275-SUM(H$2:H274))))</f>
        <v/>
      </c>
      <c r="I275">
        <f>IF(C275="","",C275-H275)</f>
        <v/>
      </c>
      <c r="J275">
        <f>IF(I275="","",I275*D275)</f>
        <v/>
      </c>
    </row>
    <row r="276">
      <c r="A276">
        <f>IFERROR(INDEX(SORT(FILTER(Transactions!$B:$B,(Transactions!$C:$C="Buy")*(Transactions!$B:$B&lt;&gt;"")),1,1),275),"")</f>
        <v/>
      </c>
      <c r="B276">
        <f>IF(A276="","",INDEX(SORT(FILTER(Transactions!$A:$G,(Transactions!$C:$C="Buy")*(Transactions!$B:$B&lt;&gt;"")),2,1),275,1))</f>
        <v/>
      </c>
      <c r="C276">
        <f>IF(A276="","",INDEX(SORT(FILTER(Transactions!$A:$G,(Transactions!$C:$C="Buy")*(Transactions!$B:$B&lt;&gt;"")),2,1),275,4))</f>
        <v/>
      </c>
      <c r="D276">
        <f>IF(A276="","",INDEX(SORT(FILTER(Transactions!$A:$G,(Transactions!$C:$C="Buy")*(Transactions!$B:$B&lt;&gt;"")),2,1),275,5))</f>
        <v/>
      </c>
      <c r="E276">
        <f>IF(C276="","",C276*D276)</f>
        <v/>
      </c>
      <c r="F276">
        <f>IF(A276="","",SUMIFS(C$2:C276,A$2:A276,A276,B$2:B276,"&lt;="&amp;B276))</f>
        <v/>
      </c>
      <c r="G276">
        <f>IF(A276="","",SUMIFS(Transactions!$D:$D,Transactions!$B:$B,A276,Transactions!$C:$C,"Sell"))</f>
        <v/>
      </c>
      <c r="H276">
        <f>IF(A276="","",MAX(0,MIN(C276,G276-SUM(H$2:H275))))</f>
        <v/>
      </c>
      <c r="I276">
        <f>IF(C276="","",C276-H276)</f>
        <v/>
      </c>
      <c r="J276">
        <f>IF(I276="","",I276*D276)</f>
        <v/>
      </c>
    </row>
    <row r="277">
      <c r="A277">
        <f>IFERROR(INDEX(SORT(FILTER(Transactions!$B:$B,(Transactions!$C:$C="Buy")*(Transactions!$B:$B&lt;&gt;"")),1,1),276),"")</f>
        <v/>
      </c>
      <c r="B277">
        <f>IF(A277="","",INDEX(SORT(FILTER(Transactions!$A:$G,(Transactions!$C:$C="Buy")*(Transactions!$B:$B&lt;&gt;"")),2,1),276,1))</f>
        <v/>
      </c>
      <c r="C277">
        <f>IF(A277="","",INDEX(SORT(FILTER(Transactions!$A:$G,(Transactions!$C:$C="Buy")*(Transactions!$B:$B&lt;&gt;"")),2,1),276,4))</f>
        <v/>
      </c>
      <c r="D277">
        <f>IF(A277="","",INDEX(SORT(FILTER(Transactions!$A:$G,(Transactions!$C:$C="Buy")*(Transactions!$B:$B&lt;&gt;"")),2,1),276,5))</f>
        <v/>
      </c>
      <c r="E277">
        <f>IF(C277="","",C277*D277)</f>
        <v/>
      </c>
      <c r="F277">
        <f>IF(A277="","",SUMIFS(C$2:C277,A$2:A277,A277,B$2:B277,"&lt;="&amp;B277))</f>
        <v/>
      </c>
      <c r="G277">
        <f>IF(A277="","",SUMIFS(Transactions!$D:$D,Transactions!$B:$B,A277,Transactions!$C:$C,"Sell"))</f>
        <v/>
      </c>
      <c r="H277">
        <f>IF(A277="","",MAX(0,MIN(C277,G277-SUM(H$2:H276))))</f>
        <v/>
      </c>
      <c r="I277">
        <f>IF(C277="","",C277-H277)</f>
        <v/>
      </c>
      <c r="J277">
        <f>IF(I277="","",I277*D277)</f>
        <v/>
      </c>
    </row>
    <row r="278">
      <c r="A278">
        <f>IFERROR(INDEX(SORT(FILTER(Transactions!$B:$B,(Transactions!$C:$C="Buy")*(Transactions!$B:$B&lt;&gt;"")),1,1),277),"")</f>
        <v/>
      </c>
      <c r="B278">
        <f>IF(A278="","",INDEX(SORT(FILTER(Transactions!$A:$G,(Transactions!$C:$C="Buy")*(Transactions!$B:$B&lt;&gt;"")),2,1),277,1))</f>
        <v/>
      </c>
      <c r="C278">
        <f>IF(A278="","",INDEX(SORT(FILTER(Transactions!$A:$G,(Transactions!$C:$C="Buy")*(Transactions!$B:$B&lt;&gt;"")),2,1),277,4))</f>
        <v/>
      </c>
      <c r="D278">
        <f>IF(A278="","",INDEX(SORT(FILTER(Transactions!$A:$G,(Transactions!$C:$C="Buy")*(Transactions!$B:$B&lt;&gt;"")),2,1),277,5))</f>
        <v/>
      </c>
      <c r="E278">
        <f>IF(C278="","",C278*D278)</f>
        <v/>
      </c>
      <c r="F278">
        <f>IF(A278="","",SUMIFS(C$2:C278,A$2:A278,A278,B$2:B278,"&lt;="&amp;B278))</f>
        <v/>
      </c>
      <c r="G278">
        <f>IF(A278="","",SUMIFS(Transactions!$D:$D,Transactions!$B:$B,A278,Transactions!$C:$C,"Sell"))</f>
        <v/>
      </c>
      <c r="H278">
        <f>IF(A278="","",MAX(0,MIN(C278,G278-SUM(H$2:H277))))</f>
        <v/>
      </c>
      <c r="I278">
        <f>IF(C278="","",C278-H278)</f>
        <v/>
      </c>
      <c r="J278">
        <f>IF(I278="","",I278*D278)</f>
        <v/>
      </c>
    </row>
    <row r="279">
      <c r="A279">
        <f>IFERROR(INDEX(SORT(FILTER(Transactions!$B:$B,(Transactions!$C:$C="Buy")*(Transactions!$B:$B&lt;&gt;"")),1,1),278),"")</f>
        <v/>
      </c>
      <c r="B279">
        <f>IF(A279="","",INDEX(SORT(FILTER(Transactions!$A:$G,(Transactions!$C:$C="Buy")*(Transactions!$B:$B&lt;&gt;"")),2,1),278,1))</f>
        <v/>
      </c>
      <c r="C279">
        <f>IF(A279="","",INDEX(SORT(FILTER(Transactions!$A:$G,(Transactions!$C:$C="Buy")*(Transactions!$B:$B&lt;&gt;"")),2,1),278,4))</f>
        <v/>
      </c>
      <c r="D279">
        <f>IF(A279="","",INDEX(SORT(FILTER(Transactions!$A:$G,(Transactions!$C:$C="Buy")*(Transactions!$B:$B&lt;&gt;"")),2,1),278,5))</f>
        <v/>
      </c>
      <c r="E279">
        <f>IF(C279="","",C279*D279)</f>
        <v/>
      </c>
      <c r="F279">
        <f>IF(A279="","",SUMIFS(C$2:C279,A$2:A279,A279,B$2:B279,"&lt;="&amp;B279))</f>
        <v/>
      </c>
      <c r="G279">
        <f>IF(A279="","",SUMIFS(Transactions!$D:$D,Transactions!$B:$B,A279,Transactions!$C:$C,"Sell"))</f>
        <v/>
      </c>
      <c r="H279">
        <f>IF(A279="","",MAX(0,MIN(C279,G279-SUM(H$2:H278))))</f>
        <v/>
      </c>
      <c r="I279">
        <f>IF(C279="","",C279-H279)</f>
        <v/>
      </c>
      <c r="J279">
        <f>IF(I279="","",I279*D279)</f>
        <v/>
      </c>
    </row>
    <row r="280">
      <c r="A280">
        <f>IFERROR(INDEX(SORT(FILTER(Transactions!$B:$B,(Transactions!$C:$C="Buy")*(Transactions!$B:$B&lt;&gt;"")),1,1),279),"")</f>
        <v/>
      </c>
      <c r="B280">
        <f>IF(A280="","",INDEX(SORT(FILTER(Transactions!$A:$G,(Transactions!$C:$C="Buy")*(Transactions!$B:$B&lt;&gt;"")),2,1),279,1))</f>
        <v/>
      </c>
      <c r="C280">
        <f>IF(A280="","",INDEX(SORT(FILTER(Transactions!$A:$G,(Transactions!$C:$C="Buy")*(Transactions!$B:$B&lt;&gt;"")),2,1),279,4))</f>
        <v/>
      </c>
      <c r="D280">
        <f>IF(A280="","",INDEX(SORT(FILTER(Transactions!$A:$G,(Transactions!$C:$C="Buy")*(Transactions!$B:$B&lt;&gt;"")),2,1),279,5))</f>
        <v/>
      </c>
      <c r="E280">
        <f>IF(C280="","",C280*D280)</f>
        <v/>
      </c>
      <c r="F280">
        <f>IF(A280="","",SUMIFS(C$2:C280,A$2:A280,A280,B$2:B280,"&lt;="&amp;B280))</f>
        <v/>
      </c>
      <c r="G280">
        <f>IF(A280="","",SUMIFS(Transactions!$D:$D,Transactions!$B:$B,A280,Transactions!$C:$C,"Sell"))</f>
        <v/>
      </c>
      <c r="H280">
        <f>IF(A280="","",MAX(0,MIN(C280,G280-SUM(H$2:H279))))</f>
        <v/>
      </c>
      <c r="I280">
        <f>IF(C280="","",C280-H280)</f>
        <v/>
      </c>
      <c r="J280">
        <f>IF(I280="","",I280*D280)</f>
        <v/>
      </c>
    </row>
    <row r="281">
      <c r="A281">
        <f>IFERROR(INDEX(SORT(FILTER(Transactions!$B:$B,(Transactions!$C:$C="Buy")*(Transactions!$B:$B&lt;&gt;"")),1,1),280),"")</f>
        <v/>
      </c>
      <c r="B281">
        <f>IF(A281="","",INDEX(SORT(FILTER(Transactions!$A:$G,(Transactions!$C:$C="Buy")*(Transactions!$B:$B&lt;&gt;"")),2,1),280,1))</f>
        <v/>
      </c>
      <c r="C281">
        <f>IF(A281="","",INDEX(SORT(FILTER(Transactions!$A:$G,(Transactions!$C:$C="Buy")*(Transactions!$B:$B&lt;&gt;"")),2,1),280,4))</f>
        <v/>
      </c>
      <c r="D281">
        <f>IF(A281="","",INDEX(SORT(FILTER(Transactions!$A:$G,(Transactions!$C:$C="Buy")*(Transactions!$B:$B&lt;&gt;"")),2,1),280,5))</f>
        <v/>
      </c>
      <c r="E281">
        <f>IF(C281="","",C281*D281)</f>
        <v/>
      </c>
      <c r="F281">
        <f>IF(A281="","",SUMIFS(C$2:C281,A$2:A281,A281,B$2:B281,"&lt;="&amp;B281))</f>
        <v/>
      </c>
      <c r="G281">
        <f>IF(A281="","",SUMIFS(Transactions!$D:$D,Transactions!$B:$B,A281,Transactions!$C:$C,"Sell"))</f>
        <v/>
      </c>
      <c r="H281">
        <f>IF(A281="","",MAX(0,MIN(C281,G281-SUM(H$2:H280))))</f>
        <v/>
      </c>
      <c r="I281">
        <f>IF(C281="","",C281-H281)</f>
        <v/>
      </c>
      <c r="J281">
        <f>IF(I281="","",I281*D281)</f>
        <v/>
      </c>
    </row>
    <row r="282">
      <c r="A282">
        <f>IFERROR(INDEX(SORT(FILTER(Transactions!$B:$B,(Transactions!$C:$C="Buy")*(Transactions!$B:$B&lt;&gt;"")),1,1),281),"")</f>
        <v/>
      </c>
      <c r="B282">
        <f>IF(A282="","",INDEX(SORT(FILTER(Transactions!$A:$G,(Transactions!$C:$C="Buy")*(Transactions!$B:$B&lt;&gt;"")),2,1),281,1))</f>
        <v/>
      </c>
      <c r="C282">
        <f>IF(A282="","",INDEX(SORT(FILTER(Transactions!$A:$G,(Transactions!$C:$C="Buy")*(Transactions!$B:$B&lt;&gt;"")),2,1),281,4))</f>
        <v/>
      </c>
      <c r="D282">
        <f>IF(A282="","",INDEX(SORT(FILTER(Transactions!$A:$G,(Transactions!$C:$C="Buy")*(Transactions!$B:$B&lt;&gt;"")),2,1),281,5))</f>
        <v/>
      </c>
      <c r="E282">
        <f>IF(C282="","",C282*D282)</f>
        <v/>
      </c>
      <c r="F282">
        <f>IF(A282="","",SUMIFS(C$2:C282,A$2:A282,A282,B$2:B282,"&lt;="&amp;B282))</f>
        <v/>
      </c>
      <c r="G282">
        <f>IF(A282="","",SUMIFS(Transactions!$D:$D,Transactions!$B:$B,A282,Transactions!$C:$C,"Sell"))</f>
        <v/>
      </c>
      <c r="H282">
        <f>IF(A282="","",MAX(0,MIN(C282,G282-SUM(H$2:H281))))</f>
        <v/>
      </c>
      <c r="I282">
        <f>IF(C282="","",C282-H282)</f>
        <v/>
      </c>
      <c r="J282">
        <f>IF(I282="","",I282*D282)</f>
        <v/>
      </c>
    </row>
    <row r="283">
      <c r="A283">
        <f>IFERROR(INDEX(SORT(FILTER(Transactions!$B:$B,(Transactions!$C:$C="Buy")*(Transactions!$B:$B&lt;&gt;"")),1,1),282),"")</f>
        <v/>
      </c>
      <c r="B283">
        <f>IF(A283="","",INDEX(SORT(FILTER(Transactions!$A:$G,(Transactions!$C:$C="Buy")*(Transactions!$B:$B&lt;&gt;"")),2,1),282,1))</f>
        <v/>
      </c>
      <c r="C283">
        <f>IF(A283="","",INDEX(SORT(FILTER(Transactions!$A:$G,(Transactions!$C:$C="Buy")*(Transactions!$B:$B&lt;&gt;"")),2,1),282,4))</f>
        <v/>
      </c>
      <c r="D283">
        <f>IF(A283="","",INDEX(SORT(FILTER(Transactions!$A:$G,(Transactions!$C:$C="Buy")*(Transactions!$B:$B&lt;&gt;"")),2,1),282,5))</f>
        <v/>
      </c>
      <c r="E283">
        <f>IF(C283="","",C283*D283)</f>
        <v/>
      </c>
      <c r="F283">
        <f>IF(A283="","",SUMIFS(C$2:C283,A$2:A283,A283,B$2:B283,"&lt;="&amp;B283))</f>
        <v/>
      </c>
      <c r="G283">
        <f>IF(A283="","",SUMIFS(Transactions!$D:$D,Transactions!$B:$B,A283,Transactions!$C:$C,"Sell"))</f>
        <v/>
      </c>
      <c r="H283">
        <f>IF(A283="","",MAX(0,MIN(C283,G283-SUM(H$2:H282))))</f>
        <v/>
      </c>
      <c r="I283">
        <f>IF(C283="","",C283-H283)</f>
        <v/>
      </c>
      <c r="J283">
        <f>IF(I283="","",I283*D283)</f>
        <v/>
      </c>
    </row>
    <row r="284">
      <c r="A284">
        <f>IFERROR(INDEX(SORT(FILTER(Transactions!$B:$B,(Transactions!$C:$C="Buy")*(Transactions!$B:$B&lt;&gt;"")),1,1),283),"")</f>
        <v/>
      </c>
      <c r="B284">
        <f>IF(A284="","",INDEX(SORT(FILTER(Transactions!$A:$G,(Transactions!$C:$C="Buy")*(Transactions!$B:$B&lt;&gt;"")),2,1),283,1))</f>
        <v/>
      </c>
      <c r="C284">
        <f>IF(A284="","",INDEX(SORT(FILTER(Transactions!$A:$G,(Transactions!$C:$C="Buy")*(Transactions!$B:$B&lt;&gt;"")),2,1),283,4))</f>
        <v/>
      </c>
      <c r="D284">
        <f>IF(A284="","",INDEX(SORT(FILTER(Transactions!$A:$G,(Transactions!$C:$C="Buy")*(Transactions!$B:$B&lt;&gt;"")),2,1),283,5))</f>
        <v/>
      </c>
      <c r="E284">
        <f>IF(C284="","",C284*D284)</f>
        <v/>
      </c>
      <c r="F284">
        <f>IF(A284="","",SUMIFS(C$2:C284,A$2:A284,A284,B$2:B284,"&lt;="&amp;B284))</f>
        <v/>
      </c>
      <c r="G284">
        <f>IF(A284="","",SUMIFS(Transactions!$D:$D,Transactions!$B:$B,A284,Transactions!$C:$C,"Sell"))</f>
        <v/>
      </c>
      <c r="H284">
        <f>IF(A284="","",MAX(0,MIN(C284,G284-SUM(H$2:H283))))</f>
        <v/>
      </c>
      <c r="I284">
        <f>IF(C284="","",C284-H284)</f>
        <v/>
      </c>
      <c r="J284">
        <f>IF(I284="","",I284*D284)</f>
        <v/>
      </c>
    </row>
    <row r="285">
      <c r="A285">
        <f>IFERROR(INDEX(SORT(FILTER(Transactions!$B:$B,(Transactions!$C:$C="Buy")*(Transactions!$B:$B&lt;&gt;"")),1,1),284),"")</f>
        <v/>
      </c>
      <c r="B285">
        <f>IF(A285="","",INDEX(SORT(FILTER(Transactions!$A:$G,(Transactions!$C:$C="Buy")*(Transactions!$B:$B&lt;&gt;"")),2,1),284,1))</f>
        <v/>
      </c>
      <c r="C285">
        <f>IF(A285="","",INDEX(SORT(FILTER(Transactions!$A:$G,(Transactions!$C:$C="Buy")*(Transactions!$B:$B&lt;&gt;"")),2,1),284,4))</f>
        <v/>
      </c>
      <c r="D285">
        <f>IF(A285="","",INDEX(SORT(FILTER(Transactions!$A:$G,(Transactions!$C:$C="Buy")*(Transactions!$B:$B&lt;&gt;"")),2,1),284,5))</f>
        <v/>
      </c>
      <c r="E285">
        <f>IF(C285="","",C285*D285)</f>
        <v/>
      </c>
      <c r="F285">
        <f>IF(A285="","",SUMIFS(C$2:C285,A$2:A285,A285,B$2:B285,"&lt;="&amp;B285))</f>
        <v/>
      </c>
      <c r="G285">
        <f>IF(A285="","",SUMIFS(Transactions!$D:$D,Transactions!$B:$B,A285,Transactions!$C:$C,"Sell"))</f>
        <v/>
      </c>
      <c r="H285">
        <f>IF(A285="","",MAX(0,MIN(C285,G285-SUM(H$2:H284))))</f>
        <v/>
      </c>
      <c r="I285">
        <f>IF(C285="","",C285-H285)</f>
        <v/>
      </c>
      <c r="J285">
        <f>IF(I285="","",I285*D285)</f>
        <v/>
      </c>
    </row>
    <row r="286">
      <c r="A286">
        <f>IFERROR(INDEX(SORT(FILTER(Transactions!$B:$B,(Transactions!$C:$C="Buy")*(Transactions!$B:$B&lt;&gt;"")),1,1),285),"")</f>
        <v/>
      </c>
      <c r="B286">
        <f>IF(A286="","",INDEX(SORT(FILTER(Transactions!$A:$G,(Transactions!$C:$C="Buy")*(Transactions!$B:$B&lt;&gt;"")),2,1),285,1))</f>
        <v/>
      </c>
      <c r="C286">
        <f>IF(A286="","",INDEX(SORT(FILTER(Transactions!$A:$G,(Transactions!$C:$C="Buy")*(Transactions!$B:$B&lt;&gt;"")),2,1),285,4))</f>
        <v/>
      </c>
      <c r="D286">
        <f>IF(A286="","",INDEX(SORT(FILTER(Transactions!$A:$G,(Transactions!$C:$C="Buy")*(Transactions!$B:$B&lt;&gt;"")),2,1),285,5))</f>
        <v/>
      </c>
      <c r="E286">
        <f>IF(C286="","",C286*D286)</f>
        <v/>
      </c>
      <c r="F286">
        <f>IF(A286="","",SUMIFS(C$2:C286,A$2:A286,A286,B$2:B286,"&lt;="&amp;B286))</f>
        <v/>
      </c>
      <c r="G286">
        <f>IF(A286="","",SUMIFS(Transactions!$D:$D,Transactions!$B:$B,A286,Transactions!$C:$C,"Sell"))</f>
        <v/>
      </c>
      <c r="H286">
        <f>IF(A286="","",MAX(0,MIN(C286,G286-SUM(H$2:H285))))</f>
        <v/>
      </c>
      <c r="I286">
        <f>IF(C286="","",C286-H286)</f>
        <v/>
      </c>
      <c r="J286">
        <f>IF(I286="","",I286*D286)</f>
        <v/>
      </c>
    </row>
    <row r="287">
      <c r="A287">
        <f>IFERROR(INDEX(SORT(FILTER(Transactions!$B:$B,(Transactions!$C:$C="Buy")*(Transactions!$B:$B&lt;&gt;"")),1,1),286),"")</f>
        <v/>
      </c>
      <c r="B287">
        <f>IF(A287="","",INDEX(SORT(FILTER(Transactions!$A:$G,(Transactions!$C:$C="Buy")*(Transactions!$B:$B&lt;&gt;"")),2,1),286,1))</f>
        <v/>
      </c>
      <c r="C287">
        <f>IF(A287="","",INDEX(SORT(FILTER(Transactions!$A:$G,(Transactions!$C:$C="Buy")*(Transactions!$B:$B&lt;&gt;"")),2,1),286,4))</f>
        <v/>
      </c>
      <c r="D287">
        <f>IF(A287="","",INDEX(SORT(FILTER(Transactions!$A:$G,(Transactions!$C:$C="Buy")*(Transactions!$B:$B&lt;&gt;"")),2,1),286,5))</f>
        <v/>
      </c>
      <c r="E287">
        <f>IF(C287="","",C287*D287)</f>
        <v/>
      </c>
      <c r="F287">
        <f>IF(A287="","",SUMIFS(C$2:C287,A$2:A287,A287,B$2:B287,"&lt;="&amp;B287))</f>
        <v/>
      </c>
      <c r="G287">
        <f>IF(A287="","",SUMIFS(Transactions!$D:$D,Transactions!$B:$B,A287,Transactions!$C:$C,"Sell"))</f>
        <v/>
      </c>
      <c r="H287">
        <f>IF(A287="","",MAX(0,MIN(C287,G287-SUM(H$2:H286))))</f>
        <v/>
      </c>
      <c r="I287">
        <f>IF(C287="","",C287-H287)</f>
        <v/>
      </c>
      <c r="J287">
        <f>IF(I287="","",I287*D287)</f>
        <v/>
      </c>
    </row>
    <row r="288">
      <c r="A288">
        <f>IFERROR(INDEX(SORT(FILTER(Transactions!$B:$B,(Transactions!$C:$C="Buy")*(Transactions!$B:$B&lt;&gt;"")),1,1),287),"")</f>
        <v/>
      </c>
      <c r="B288">
        <f>IF(A288="","",INDEX(SORT(FILTER(Transactions!$A:$G,(Transactions!$C:$C="Buy")*(Transactions!$B:$B&lt;&gt;"")),2,1),287,1))</f>
        <v/>
      </c>
      <c r="C288">
        <f>IF(A288="","",INDEX(SORT(FILTER(Transactions!$A:$G,(Transactions!$C:$C="Buy")*(Transactions!$B:$B&lt;&gt;"")),2,1),287,4))</f>
        <v/>
      </c>
      <c r="D288">
        <f>IF(A288="","",INDEX(SORT(FILTER(Transactions!$A:$G,(Transactions!$C:$C="Buy")*(Transactions!$B:$B&lt;&gt;"")),2,1),287,5))</f>
        <v/>
      </c>
      <c r="E288">
        <f>IF(C288="","",C288*D288)</f>
        <v/>
      </c>
      <c r="F288">
        <f>IF(A288="","",SUMIFS(C$2:C288,A$2:A288,A288,B$2:B288,"&lt;="&amp;B288))</f>
        <v/>
      </c>
      <c r="G288">
        <f>IF(A288="","",SUMIFS(Transactions!$D:$D,Transactions!$B:$B,A288,Transactions!$C:$C,"Sell"))</f>
        <v/>
      </c>
      <c r="H288">
        <f>IF(A288="","",MAX(0,MIN(C288,G288-SUM(H$2:H287))))</f>
        <v/>
      </c>
      <c r="I288">
        <f>IF(C288="","",C288-H288)</f>
        <v/>
      </c>
      <c r="J288">
        <f>IF(I288="","",I288*D288)</f>
        <v/>
      </c>
    </row>
    <row r="289">
      <c r="A289">
        <f>IFERROR(INDEX(SORT(FILTER(Transactions!$B:$B,(Transactions!$C:$C="Buy")*(Transactions!$B:$B&lt;&gt;"")),1,1),288),"")</f>
        <v/>
      </c>
      <c r="B289">
        <f>IF(A289="","",INDEX(SORT(FILTER(Transactions!$A:$G,(Transactions!$C:$C="Buy")*(Transactions!$B:$B&lt;&gt;"")),2,1),288,1))</f>
        <v/>
      </c>
      <c r="C289">
        <f>IF(A289="","",INDEX(SORT(FILTER(Transactions!$A:$G,(Transactions!$C:$C="Buy")*(Transactions!$B:$B&lt;&gt;"")),2,1),288,4))</f>
        <v/>
      </c>
      <c r="D289">
        <f>IF(A289="","",INDEX(SORT(FILTER(Transactions!$A:$G,(Transactions!$C:$C="Buy")*(Transactions!$B:$B&lt;&gt;"")),2,1),288,5))</f>
        <v/>
      </c>
      <c r="E289">
        <f>IF(C289="","",C289*D289)</f>
        <v/>
      </c>
      <c r="F289">
        <f>IF(A289="","",SUMIFS(C$2:C289,A$2:A289,A289,B$2:B289,"&lt;="&amp;B289))</f>
        <v/>
      </c>
      <c r="G289">
        <f>IF(A289="","",SUMIFS(Transactions!$D:$D,Transactions!$B:$B,A289,Transactions!$C:$C,"Sell"))</f>
        <v/>
      </c>
      <c r="H289">
        <f>IF(A289="","",MAX(0,MIN(C289,G289-SUM(H$2:H288))))</f>
        <v/>
      </c>
      <c r="I289">
        <f>IF(C289="","",C289-H289)</f>
        <v/>
      </c>
      <c r="J289">
        <f>IF(I289="","",I289*D289)</f>
        <v/>
      </c>
    </row>
    <row r="290">
      <c r="A290">
        <f>IFERROR(INDEX(SORT(FILTER(Transactions!$B:$B,(Transactions!$C:$C="Buy")*(Transactions!$B:$B&lt;&gt;"")),1,1),289),"")</f>
        <v/>
      </c>
      <c r="B290">
        <f>IF(A290="","",INDEX(SORT(FILTER(Transactions!$A:$G,(Transactions!$C:$C="Buy")*(Transactions!$B:$B&lt;&gt;"")),2,1),289,1))</f>
        <v/>
      </c>
      <c r="C290">
        <f>IF(A290="","",INDEX(SORT(FILTER(Transactions!$A:$G,(Transactions!$C:$C="Buy")*(Transactions!$B:$B&lt;&gt;"")),2,1),289,4))</f>
        <v/>
      </c>
      <c r="D290">
        <f>IF(A290="","",INDEX(SORT(FILTER(Transactions!$A:$G,(Transactions!$C:$C="Buy")*(Transactions!$B:$B&lt;&gt;"")),2,1),289,5))</f>
        <v/>
      </c>
      <c r="E290">
        <f>IF(C290="","",C290*D290)</f>
        <v/>
      </c>
      <c r="F290">
        <f>IF(A290="","",SUMIFS(C$2:C290,A$2:A290,A290,B$2:B290,"&lt;="&amp;B290))</f>
        <v/>
      </c>
      <c r="G290">
        <f>IF(A290="","",SUMIFS(Transactions!$D:$D,Transactions!$B:$B,A290,Transactions!$C:$C,"Sell"))</f>
        <v/>
      </c>
      <c r="H290">
        <f>IF(A290="","",MAX(0,MIN(C290,G290-SUM(H$2:H289))))</f>
        <v/>
      </c>
      <c r="I290">
        <f>IF(C290="","",C290-H290)</f>
        <v/>
      </c>
      <c r="J290">
        <f>IF(I290="","",I290*D290)</f>
        <v/>
      </c>
    </row>
    <row r="291">
      <c r="A291">
        <f>IFERROR(INDEX(SORT(FILTER(Transactions!$B:$B,(Transactions!$C:$C="Buy")*(Transactions!$B:$B&lt;&gt;"")),1,1),290),"")</f>
        <v/>
      </c>
      <c r="B291">
        <f>IF(A291="","",INDEX(SORT(FILTER(Transactions!$A:$G,(Transactions!$C:$C="Buy")*(Transactions!$B:$B&lt;&gt;"")),2,1),290,1))</f>
        <v/>
      </c>
      <c r="C291">
        <f>IF(A291="","",INDEX(SORT(FILTER(Transactions!$A:$G,(Transactions!$C:$C="Buy")*(Transactions!$B:$B&lt;&gt;"")),2,1),290,4))</f>
        <v/>
      </c>
      <c r="D291">
        <f>IF(A291="","",INDEX(SORT(FILTER(Transactions!$A:$G,(Transactions!$C:$C="Buy")*(Transactions!$B:$B&lt;&gt;"")),2,1),290,5))</f>
        <v/>
      </c>
      <c r="E291">
        <f>IF(C291="","",C291*D291)</f>
        <v/>
      </c>
      <c r="F291">
        <f>IF(A291="","",SUMIFS(C$2:C291,A$2:A291,A291,B$2:B291,"&lt;="&amp;B291))</f>
        <v/>
      </c>
      <c r="G291">
        <f>IF(A291="","",SUMIFS(Transactions!$D:$D,Transactions!$B:$B,A291,Transactions!$C:$C,"Sell"))</f>
        <v/>
      </c>
      <c r="H291">
        <f>IF(A291="","",MAX(0,MIN(C291,G291-SUM(H$2:H290))))</f>
        <v/>
      </c>
      <c r="I291">
        <f>IF(C291="","",C291-H291)</f>
        <v/>
      </c>
      <c r="J291">
        <f>IF(I291="","",I291*D291)</f>
        <v/>
      </c>
    </row>
    <row r="292">
      <c r="A292">
        <f>IFERROR(INDEX(SORT(FILTER(Transactions!$B:$B,(Transactions!$C:$C="Buy")*(Transactions!$B:$B&lt;&gt;"")),1,1),291),"")</f>
        <v/>
      </c>
      <c r="B292">
        <f>IF(A292="","",INDEX(SORT(FILTER(Transactions!$A:$G,(Transactions!$C:$C="Buy")*(Transactions!$B:$B&lt;&gt;"")),2,1),291,1))</f>
        <v/>
      </c>
      <c r="C292">
        <f>IF(A292="","",INDEX(SORT(FILTER(Transactions!$A:$G,(Transactions!$C:$C="Buy")*(Transactions!$B:$B&lt;&gt;"")),2,1),291,4))</f>
        <v/>
      </c>
      <c r="D292">
        <f>IF(A292="","",INDEX(SORT(FILTER(Transactions!$A:$G,(Transactions!$C:$C="Buy")*(Transactions!$B:$B&lt;&gt;"")),2,1),291,5))</f>
        <v/>
      </c>
      <c r="E292">
        <f>IF(C292="","",C292*D292)</f>
        <v/>
      </c>
      <c r="F292">
        <f>IF(A292="","",SUMIFS(C$2:C292,A$2:A292,A292,B$2:B292,"&lt;="&amp;B292))</f>
        <v/>
      </c>
      <c r="G292">
        <f>IF(A292="","",SUMIFS(Transactions!$D:$D,Transactions!$B:$B,A292,Transactions!$C:$C,"Sell"))</f>
        <v/>
      </c>
      <c r="H292">
        <f>IF(A292="","",MAX(0,MIN(C292,G292-SUM(H$2:H291))))</f>
        <v/>
      </c>
      <c r="I292">
        <f>IF(C292="","",C292-H292)</f>
        <v/>
      </c>
      <c r="J292">
        <f>IF(I292="","",I292*D292)</f>
        <v/>
      </c>
    </row>
    <row r="293">
      <c r="A293">
        <f>IFERROR(INDEX(SORT(FILTER(Transactions!$B:$B,(Transactions!$C:$C="Buy")*(Transactions!$B:$B&lt;&gt;"")),1,1),292),"")</f>
        <v/>
      </c>
      <c r="B293">
        <f>IF(A293="","",INDEX(SORT(FILTER(Transactions!$A:$G,(Transactions!$C:$C="Buy")*(Transactions!$B:$B&lt;&gt;"")),2,1),292,1))</f>
        <v/>
      </c>
      <c r="C293">
        <f>IF(A293="","",INDEX(SORT(FILTER(Transactions!$A:$G,(Transactions!$C:$C="Buy")*(Transactions!$B:$B&lt;&gt;"")),2,1),292,4))</f>
        <v/>
      </c>
      <c r="D293">
        <f>IF(A293="","",INDEX(SORT(FILTER(Transactions!$A:$G,(Transactions!$C:$C="Buy")*(Transactions!$B:$B&lt;&gt;"")),2,1),292,5))</f>
        <v/>
      </c>
      <c r="E293">
        <f>IF(C293="","",C293*D293)</f>
        <v/>
      </c>
      <c r="F293">
        <f>IF(A293="","",SUMIFS(C$2:C293,A$2:A293,A293,B$2:B293,"&lt;="&amp;B293))</f>
        <v/>
      </c>
      <c r="G293">
        <f>IF(A293="","",SUMIFS(Transactions!$D:$D,Transactions!$B:$B,A293,Transactions!$C:$C,"Sell"))</f>
        <v/>
      </c>
      <c r="H293">
        <f>IF(A293="","",MAX(0,MIN(C293,G293-SUM(H$2:H292))))</f>
        <v/>
      </c>
      <c r="I293">
        <f>IF(C293="","",C293-H293)</f>
        <v/>
      </c>
      <c r="J293">
        <f>IF(I293="","",I293*D293)</f>
        <v/>
      </c>
    </row>
    <row r="294">
      <c r="A294">
        <f>IFERROR(INDEX(SORT(FILTER(Transactions!$B:$B,(Transactions!$C:$C="Buy")*(Transactions!$B:$B&lt;&gt;"")),1,1),293),"")</f>
        <v/>
      </c>
      <c r="B294">
        <f>IF(A294="","",INDEX(SORT(FILTER(Transactions!$A:$G,(Transactions!$C:$C="Buy")*(Transactions!$B:$B&lt;&gt;"")),2,1),293,1))</f>
        <v/>
      </c>
      <c r="C294">
        <f>IF(A294="","",INDEX(SORT(FILTER(Transactions!$A:$G,(Transactions!$C:$C="Buy")*(Transactions!$B:$B&lt;&gt;"")),2,1),293,4))</f>
        <v/>
      </c>
      <c r="D294">
        <f>IF(A294="","",INDEX(SORT(FILTER(Transactions!$A:$G,(Transactions!$C:$C="Buy")*(Transactions!$B:$B&lt;&gt;"")),2,1),293,5))</f>
        <v/>
      </c>
      <c r="E294">
        <f>IF(C294="","",C294*D294)</f>
        <v/>
      </c>
      <c r="F294">
        <f>IF(A294="","",SUMIFS(C$2:C294,A$2:A294,A294,B$2:B294,"&lt;="&amp;B294))</f>
        <v/>
      </c>
      <c r="G294">
        <f>IF(A294="","",SUMIFS(Transactions!$D:$D,Transactions!$B:$B,A294,Transactions!$C:$C,"Sell"))</f>
        <v/>
      </c>
      <c r="H294">
        <f>IF(A294="","",MAX(0,MIN(C294,G294-SUM(H$2:H293))))</f>
        <v/>
      </c>
      <c r="I294">
        <f>IF(C294="","",C294-H294)</f>
        <v/>
      </c>
      <c r="J294">
        <f>IF(I294="","",I294*D294)</f>
        <v/>
      </c>
    </row>
    <row r="295">
      <c r="A295">
        <f>IFERROR(INDEX(SORT(FILTER(Transactions!$B:$B,(Transactions!$C:$C="Buy")*(Transactions!$B:$B&lt;&gt;"")),1,1),294),"")</f>
        <v/>
      </c>
      <c r="B295">
        <f>IF(A295="","",INDEX(SORT(FILTER(Transactions!$A:$G,(Transactions!$C:$C="Buy")*(Transactions!$B:$B&lt;&gt;"")),2,1),294,1))</f>
        <v/>
      </c>
      <c r="C295">
        <f>IF(A295="","",INDEX(SORT(FILTER(Transactions!$A:$G,(Transactions!$C:$C="Buy")*(Transactions!$B:$B&lt;&gt;"")),2,1),294,4))</f>
        <v/>
      </c>
      <c r="D295">
        <f>IF(A295="","",INDEX(SORT(FILTER(Transactions!$A:$G,(Transactions!$C:$C="Buy")*(Transactions!$B:$B&lt;&gt;"")),2,1),294,5))</f>
        <v/>
      </c>
      <c r="E295">
        <f>IF(C295="","",C295*D295)</f>
        <v/>
      </c>
      <c r="F295">
        <f>IF(A295="","",SUMIFS(C$2:C295,A$2:A295,A295,B$2:B295,"&lt;="&amp;B295))</f>
        <v/>
      </c>
      <c r="G295">
        <f>IF(A295="","",SUMIFS(Transactions!$D:$D,Transactions!$B:$B,A295,Transactions!$C:$C,"Sell"))</f>
        <v/>
      </c>
      <c r="H295">
        <f>IF(A295="","",MAX(0,MIN(C295,G295-SUM(H$2:H294))))</f>
        <v/>
      </c>
      <c r="I295">
        <f>IF(C295="","",C295-H295)</f>
        <v/>
      </c>
      <c r="J295">
        <f>IF(I295="","",I295*D295)</f>
        <v/>
      </c>
    </row>
    <row r="296">
      <c r="A296">
        <f>IFERROR(INDEX(SORT(FILTER(Transactions!$B:$B,(Transactions!$C:$C="Buy")*(Transactions!$B:$B&lt;&gt;"")),1,1),295),"")</f>
        <v/>
      </c>
      <c r="B296">
        <f>IF(A296="","",INDEX(SORT(FILTER(Transactions!$A:$G,(Transactions!$C:$C="Buy")*(Transactions!$B:$B&lt;&gt;"")),2,1),295,1))</f>
        <v/>
      </c>
      <c r="C296">
        <f>IF(A296="","",INDEX(SORT(FILTER(Transactions!$A:$G,(Transactions!$C:$C="Buy")*(Transactions!$B:$B&lt;&gt;"")),2,1),295,4))</f>
        <v/>
      </c>
      <c r="D296">
        <f>IF(A296="","",INDEX(SORT(FILTER(Transactions!$A:$G,(Transactions!$C:$C="Buy")*(Transactions!$B:$B&lt;&gt;"")),2,1),295,5))</f>
        <v/>
      </c>
      <c r="E296">
        <f>IF(C296="","",C296*D296)</f>
        <v/>
      </c>
      <c r="F296">
        <f>IF(A296="","",SUMIFS(C$2:C296,A$2:A296,A296,B$2:B296,"&lt;="&amp;B296))</f>
        <v/>
      </c>
      <c r="G296">
        <f>IF(A296="","",SUMIFS(Transactions!$D:$D,Transactions!$B:$B,A296,Transactions!$C:$C,"Sell"))</f>
        <v/>
      </c>
      <c r="H296">
        <f>IF(A296="","",MAX(0,MIN(C296,G296-SUM(H$2:H295))))</f>
        <v/>
      </c>
      <c r="I296">
        <f>IF(C296="","",C296-H296)</f>
        <v/>
      </c>
      <c r="J296">
        <f>IF(I296="","",I296*D296)</f>
        <v/>
      </c>
    </row>
    <row r="297">
      <c r="A297">
        <f>IFERROR(INDEX(SORT(FILTER(Transactions!$B:$B,(Transactions!$C:$C="Buy")*(Transactions!$B:$B&lt;&gt;"")),1,1),296),"")</f>
        <v/>
      </c>
      <c r="B297">
        <f>IF(A297="","",INDEX(SORT(FILTER(Transactions!$A:$G,(Transactions!$C:$C="Buy")*(Transactions!$B:$B&lt;&gt;"")),2,1),296,1))</f>
        <v/>
      </c>
      <c r="C297">
        <f>IF(A297="","",INDEX(SORT(FILTER(Transactions!$A:$G,(Transactions!$C:$C="Buy")*(Transactions!$B:$B&lt;&gt;"")),2,1),296,4))</f>
        <v/>
      </c>
      <c r="D297">
        <f>IF(A297="","",INDEX(SORT(FILTER(Transactions!$A:$G,(Transactions!$C:$C="Buy")*(Transactions!$B:$B&lt;&gt;"")),2,1),296,5))</f>
        <v/>
      </c>
      <c r="E297">
        <f>IF(C297="","",C297*D297)</f>
        <v/>
      </c>
      <c r="F297">
        <f>IF(A297="","",SUMIFS(C$2:C297,A$2:A297,A297,B$2:B297,"&lt;="&amp;B297))</f>
        <v/>
      </c>
      <c r="G297">
        <f>IF(A297="","",SUMIFS(Transactions!$D:$D,Transactions!$B:$B,A297,Transactions!$C:$C,"Sell"))</f>
        <v/>
      </c>
      <c r="H297">
        <f>IF(A297="","",MAX(0,MIN(C297,G297-SUM(H$2:H296))))</f>
        <v/>
      </c>
      <c r="I297">
        <f>IF(C297="","",C297-H297)</f>
        <v/>
      </c>
      <c r="J297">
        <f>IF(I297="","",I297*D297)</f>
        <v/>
      </c>
    </row>
    <row r="298">
      <c r="A298">
        <f>IFERROR(INDEX(SORT(FILTER(Transactions!$B:$B,(Transactions!$C:$C="Buy")*(Transactions!$B:$B&lt;&gt;"")),1,1),297),"")</f>
        <v/>
      </c>
      <c r="B298">
        <f>IF(A298="","",INDEX(SORT(FILTER(Transactions!$A:$G,(Transactions!$C:$C="Buy")*(Transactions!$B:$B&lt;&gt;"")),2,1),297,1))</f>
        <v/>
      </c>
      <c r="C298">
        <f>IF(A298="","",INDEX(SORT(FILTER(Transactions!$A:$G,(Transactions!$C:$C="Buy")*(Transactions!$B:$B&lt;&gt;"")),2,1),297,4))</f>
        <v/>
      </c>
      <c r="D298">
        <f>IF(A298="","",INDEX(SORT(FILTER(Transactions!$A:$G,(Transactions!$C:$C="Buy")*(Transactions!$B:$B&lt;&gt;"")),2,1),297,5))</f>
        <v/>
      </c>
      <c r="E298">
        <f>IF(C298="","",C298*D298)</f>
        <v/>
      </c>
      <c r="F298">
        <f>IF(A298="","",SUMIFS(C$2:C298,A$2:A298,A298,B$2:B298,"&lt;="&amp;B298))</f>
        <v/>
      </c>
      <c r="G298">
        <f>IF(A298="","",SUMIFS(Transactions!$D:$D,Transactions!$B:$B,A298,Transactions!$C:$C,"Sell"))</f>
        <v/>
      </c>
      <c r="H298">
        <f>IF(A298="","",MAX(0,MIN(C298,G298-SUM(H$2:H297))))</f>
        <v/>
      </c>
      <c r="I298">
        <f>IF(C298="","",C298-H298)</f>
        <v/>
      </c>
      <c r="J298">
        <f>IF(I298="","",I298*D298)</f>
        <v/>
      </c>
    </row>
    <row r="299">
      <c r="A299">
        <f>IFERROR(INDEX(SORT(FILTER(Transactions!$B:$B,(Transactions!$C:$C="Buy")*(Transactions!$B:$B&lt;&gt;"")),1,1),298),"")</f>
        <v/>
      </c>
      <c r="B299">
        <f>IF(A299="","",INDEX(SORT(FILTER(Transactions!$A:$G,(Transactions!$C:$C="Buy")*(Transactions!$B:$B&lt;&gt;"")),2,1),298,1))</f>
        <v/>
      </c>
      <c r="C299">
        <f>IF(A299="","",INDEX(SORT(FILTER(Transactions!$A:$G,(Transactions!$C:$C="Buy")*(Transactions!$B:$B&lt;&gt;"")),2,1),298,4))</f>
        <v/>
      </c>
      <c r="D299">
        <f>IF(A299="","",INDEX(SORT(FILTER(Transactions!$A:$G,(Transactions!$C:$C="Buy")*(Transactions!$B:$B&lt;&gt;"")),2,1),298,5))</f>
        <v/>
      </c>
      <c r="E299">
        <f>IF(C299="","",C299*D299)</f>
        <v/>
      </c>
      <c r="F299">
        <f>IF(A299="","",SUMIFS(C$2:C299,A$2:A299,A299,B$2:B299,"&lt;="&amp;B299))</f>
        <v/>
      </c>
      <c r="G299">
        <f>IF(A299="","",SUMIFS(Transactions!$D:$D,Transactions!$B:$B,A299,Transactions!$C:$C,"Sell"))</f>
        <v/>
      </c>
      <c r="H299">
        <f>IF(A299="","",MAX(0,MIN(C299,G299-SUM(H$2:H298))))</f>
        <v/>
      </c>
      <c r="I299">
        <f>IF(C299="","",C299-H299)</f>
        <v/>
      </c>
      <c r="J299">
        <f>IF(I299="","",I299*D299)</f>
        <v/>
      </c>
    </row>
    <row r="300">
      <c r="A300">
        <f>IFERROR(INDEX(SORT(FILTER(Transactions!$B:$B,(Transactions!$C:$C="Buy")*(Transactions!$B:$B&lt;&gt;"")),1,1),299),"")</f>
        <v/>
      </c>
      <c r="B300">
        <f>IF(A300="","",INDEX(SORT(FILTER(Transactions!$A:$G,(Transactions!$C:$C="Buy")*(Transactions!$B:$B&lt;&gt;"")),2,1),299,1))</f>
        <v/>
      </c>
      <c r="C300">
        <f>IF(A300="","",INDEX(SORT(FILTER(Transactions!$A:$G,(Transactions!$C:$C="Buy")*(Transactions!$B:$B&lt;&gt;"")),2,1),299,4))</f>
        <v/>
      </c>
      <c r="D300">
        <f>IF(A300="","",INDEX(SORT(FILTER(Transactions!$A:$G,(Transactions!$C:$C="Buy")*(Transactions!$B:$B&lt;&gt;"")),2,1),299,5))</f>
        <v/>
      </c>
      <c r="E300">
        <f>IF(C300="","",C300*D300)</f>
        <v/>
      </c>
      <c r="F300">
        <f>IF(A300="","",SUMIFS(C$2:C300,A$2:A300,A300,B$2:B300,"&lt;="&amp;B300))</f>
        <v/>
      </c>
      <c r="G300">
        <f>IF(A300="","",SUMIFS(Transactions!$D:$D,Transactions!$B:$B,A300,Transactions!$C:$C,"Sell"))</f>
        <v/>
      </c>
      <c r="H300">
        <f>IF(A300="","",MAX(0,MIN(C300,G300-SUM(H$2:H299))))</f>
        <v/>
      </c>
      <c r="I300">
        <f>IF(C300="","",C300-H300)</f>
        <v/>
      </c>
      <c r="J300">
        <f>IF(I300="","",I300*D300)</f>
        <v/>
      </c>
    </row>
    <row r="301">
      <c r="A301">
        <f>IFERROR(INDEX(SORT(FILTER(Transactions!$B:$B,(Transactions!$C:$C="Buy")*(Transactions!$B:$B&lt;&gt;"")),1,1),300),"")</f>
        <v/>
      </c>
      <c r="B301">
        <f>IF(A301="","",INDEX(SORT(FILTER(Transactions!$A:$G,(Transactions!$C:$C="Buy")*(Transactions!$B:$B&lt;&gt;"")),2,1),300,1))</f>
        <v/>
      </c>
      <c r="C301">
        <f>IF(A301="","",INDEX(SORT(FILTER(Transactions!$A:$G,(Transactions!$C:$C="Buy")*(Transactions!$B:$B&lt;&gt;"")),2,1),300,4))</f>
        <v/>
      </c>
      <c r="D301">
        <f>IF(A301="","",INDEX(SORT(FILTER(Transactions!$A:$G,(Transactions!$C:$C="Buy")*(Transactions!$B:$B&lt;&gt;"")),2,1),300,5))</f>
        <v/>
      </c>
      <c r="E301">
        <f>IF(C301="","",C301*D301)</f>
        <v/>
      </c>
      <c r="F301">
        <f>IF(A301="","",SUMIFS(C$2:C301,A$2:A301,A301,B$2:B301,"&lt;="&amp;B301))</f>
        <v/>
      </c>
      <c r="G301">
        <f>IF(A301="","",SUMIFS(Transactions!$D:$D,Transactions!$B:$B,A301,Transactions!$C:$C,"Sell"))</f>
        <v/>
      </c>
      <c r="H301">
        <f>IF(A301="","",MAX(0,MIN(C301,G301-SUM(H$2:H300))))</f>
        <v/>
      </c>
      <c r="I301">
        <f>IF(C301="","",C301-H301)</f>
        <v/>
      </c>
      <c r="J301">
        <f>IF(I301="","",I301*D301)</f>
        <v/>
      </c>
    </row>
    <row r="302">
      <c r="A302">
        <f>IFERROR(INDEX(SORT(FILTER(Transactions!$B:$B,(Transactions!$C:$C="Buy")*(Transactions!$B:$B&lt;&gt;"")),1,1),301),"")</f>
        <v/>
      </c>
      <c r="B302">
        <f>IF(A302="","",INDEX(SORT(FILTER(Transactions!$A:$G,(Transactions!$C:$C="Buy")*(Transactions!$B:$B&lt;&gt;"")),2,1),301,1))</f>
        <v/>
      </c>
      <c r="C302">
        <f>IF(A302="","",INDEX(SORT(FILTER(Transactions!$A:$G,(Transactions!$C:$C="Buy")*(Transactions!$B:$B&lt;&gt;"")),2,1),301,4))</f>
        <v/>
      </c>
      <c r="D302">
        <f>IF(A302="","",INDEX(SORT(FILTER(Transactions!$A:$G,(Transactions!$C:$C="Buy")*(Transactions!$B:$B&lt;&gt;"")),2,1),301,5))</f>
        <v/>
      </c>
      <c r="E302">
        <f>IF(C302="","",C302*D302)</f>
        <v/>
      </c>
      <c r="F302">
        <f>IF(A302="","",SUMIFS(C$2:C302,A$2:A302,A302,B$2:B302,"&lt;="&amp;B302))</f>
        <v/>
      </c>
      <c r="G302">
        <f>IF(A302="","",SUMIFS(Transactions!$D:$D,Transactions!$B:$B,A302,Transactions!$C:$C,"Sell"))</f>
        <v/>
      </c>
      <c r="H302">
        <f>IF(A302="","",MAX(0,MIN(C302,G302-SUM(H$2:H301))))</f>
        <v/>
      </c>
      <c r="I302">
        <f>IF(C302="","",C302-H302)</f>
        <v/>
      </c>
      <c r="J302">
        <f>IF(I302="","",I302*D302)</f>
        <v/>
      </c>
    </row>
    <row r="303">
      <c r="A303">
        <f>IFERROR(INDEX(SORT(FILTER(Transactions!$B:$B,(Transactions!$C:$C="Buy")*(Transactions!$B:$B&lt;&gt;"")),1,1),302),"")</f>
        <v/>
      </c>
      <c r="B303">
        <f>IF(A303="","",INDEX(SORT(FILTER(Transactions!$A:$G,(Transactions!$C:$C="Buy")*(Transactions!$B:$B&lt;&gt;"")),2,1),302,1))</f>
        <v/>
      </c>
      <c r="C303">
        <f>IF(A303="","",INDEX(SORT(FILTER(Transactions!$A:$G,(Transactions!$C:$C="Buy")*(Transactions!$B:$B&lt;&gt;"")),2,1),302,4))</f>
        <v/>
      </c>
      <c r="D303">
        <f>IF(A303="","",INDEX(SORT(FILTER(Transactions!$A:$G,(Transactions!$C:$C="Buy")*(Transactions!$B:$B&lt;&gt;"")),2,1),302,5))</f>
        <v/>
      </c>
      <c r="E303">
        <f>IF(C303="","",C303*D303)</f>
        <v/>
      </c>
      <c r="F303">
        <f>IF(A303="","",SUMIFS(C$2:C303,A$2:A303,A303,B$2:B303,"&lt;="&amp;B303))</f>
        <v/>
      </c>
      <c r="G303">
        <f>IF(A303="","",SUMIFS(Transactions!$D:$D,Transactions!$B:$B,A303,Transactions!$C:$C,"Sell"))</f>
        <v/>
      </c>
      <c r="H303">
        <f>IF(A303="","",MAX(0,MIN(C303,G303-SUM(H$2:H302))))</f>
        <v/>
      </c>
      <c r="I303">
        <f>IF(C303="","",C303-H303)</f>
        <v/>
      </c>
      <c r="J303">
        <f>IF(I303="","",I303*D303)</f>
        <v/>
      </c>
    </row>
    <row r="304">
      <c r="A304">
        <f>IFERROR(INDEX(SORT(FILTER(Transactions!$B:$B,(Transactions!$C:$C="Buy")*(Transactions!$B:$B&lt;&gt;"")),1,1),303),"")</f>
        <v/>
      </c>
      <c r="B304">
        <f>IF(A304="","",INDEX(SORT(FILTER(Transactions!$A:$G,(Transactions!$C:$C="Buy")*(Transactions!$B:$B&lt;&gt;"")),2,1),303,1))</f>
        <v/>
      </c>
      <c r="C304">
        <f>IF(A304="","",INDEX(SORT(FILTER(Transactions!$A:$G,(Transactions!$C:$C="Buy")*(Transactions!$B:$B&lt;&gt;"")),2,1),303,4))</f>
        <v/>
      </c>
      <c r="D304">
        <f>IF(A304="","",INDEX(SORT(FILTER(Transactions!$A:$G,(Transactions!$C:$C="Buy")*(Transactions!$B:$B&lt;&gt;"")),2,1),303,5))</f>
        <v/>
      </c>
      <c r="E304">
        <f>IF(C304="","",C304*D304)</f>
        <v/>
      </c>
      <c r="F304">
        <f>IF(A304="","",SUMIFS(C$2:C304,A$2:A304,A304,B$2:B304,"&lt;="&amp;B304))</f>
        <v/>
      </c>
      <c r="G304">
        <f>IF(A304="","",SUMIFS(Transactions!$D:$D,Transactions!$B:$B,A304,Transactions!$C:$C,"Sell"))</f>
        <v/>
      </c>
      <c r="H304">
        <f>IF(A304="","",MAX(0,MIN(C304,G304-SUM(H$2:H303))))</f>
        <v/>
      </c>
      <c r="I304">
        <f>IF(C304="","",C304-H304)</f>
        <v/>
      </c>
      <c r="J304">
        <f>IF(I304="","",I304*D304)</f>
        <v/>
      </c>
    </row>
    <row r="305">
      <c r="A305">
        <f>IFERROR(INDEX(SORT(FILTER(Transactions!$B:$B,(Transactions!$C:$C="Buy")*(Transactions!$B:$B&lt;&gt;"")),1,1),304),"")</f>
        <v/>
      </c>
      <c r="B305">
        <f>IF(A305="","",INDEX(SORT(FILTER(Transactions!$A:$G,(Transactions!$C:$C="Buy")*(Transactions!$B:$B&lt;&gt;"")),2,1),304,1))</f>
        <v/>
      </c>
      <c r="C305">
        <f>IF(A305="","",INDEX(SORT(FILTER(Transactions!$A:$G,(Transactions!$C:$C="Buy")*(Transactions!$B:$B&lt;&gt;"")),2,1),304,4))</f>
        <v/>
      </c>
      <c r="D305">
        <f>IF(A305="","",INDEX(SORT(FILTER(Transactions!$A:$G,(Transactions!$C:$C="Buy")*(Transactions!$B:$B&lt;&gt;"")),2,1),304,5))</f>
        <v/>
      </c>
      <c r="E305">
        <f>IF(C305="","",C305*D305)</f>
        <v/>
      </c>
      <c r="F305">
        <f>IF(A305="","",SUMIFS(C$2:C305,A$2:A305,A305,B$2:B305,"&lt;="&amp;B305))</f>
        <v/>
      </c>
      <c r="G305">
        <f>IF(A305="","",SUMIFS(Transactions!$D:$D,Transactions!$B:$B,A305,Transactions!$C:$C,"Sell"))</f>
        <v/>
      </c>
      <c r="H305">
        <f>IF(A305="","",MAX(0,MIN(C305,G305-SUM(H$2:H304))))</f>
        <v/>
      </c>
      <c r="I305">
        <f>IF(C305="","",C305-H305)</f>
        <v/>
      </c>
      <c r="J305">
        <f>IF(I305="","",I305*D305)</f>
        <v/>
      </c>
    </row>
    <row r="306">
      <c r="A306">
        <f>IFERROR(INDEX(SORT(FILTER(Transactions!$B:$B,(Transactions!$C:$C="Buy")*(Transactions!$B:$B&lt;&gt;"")),1,1),305),"")</f>
        <v/>
      </c>
      <c r="B306">
        <f>IF(A306="","",INDEX(SORT(FILTER(Transactions!$A:$G,(Transactions!$C:$C="Buy")*(Transactions!$B:$B&lt;&gt;"")),2,1),305,1))</f>
        <v/>
      </c>
      <c r="C306">
        <f>IF(A306="","",INDEX(SORT(FILTER(Transactions!$A:$G,(Transactions!$C:$C="Buy")*(Transactions!$B:$B&lt;&gt;"")),2,1),305,4))</f>
        <v/>
      </c>
      <c r="D306">
        <f>IF(A306="","",INDEX(SORT(FILTER(Transactions!$A:$G,(Transactions!$C:$C="Buy")*(Transactions!$B:$B&lt;&gt;"")),2,1),305,5))</f>
        <v/>
      </c>
      <c r="E306">
        <f>IF(C306="","",C306*D306)</f>
        <v/>
      </c>
      <c r="F306">
        <f>IF(A306="","",SUMIFS(C$2:C306,A$2:A306,A306,B$2:B306,"&lt;="&amp;B306))</f>
        <v/>
      </c>
      <c r="G306">
        <f>IF(A306="","",SUMIFS(Transactions!$D:$D,Transactions!$B:$B,A306,Transactions!$C:$C,"Sell"))</f>
        <v/>
      </c>
      <c r="H306">
        <f>IF(A306="","",MAX(0,MIN(C306,G306-SUM(H$2:H305))))</f>
        <v/>
      </c>
      <c r="I306">
        <f>IF(C306="","",C306-H306)</f>
        <v/>
      </c>
      <c r="J306">
        <f>IF(I306="","",I306*D306)</f>
        <v/>
      </c>
    </row>
    <row r="307">
      <c r="A307">
        <f>IFERROR(INDEX(SORT(FILTER(Transactions!$B:$B,(Transactions!$C:$C="Buy")*(Transactions!$B:$B&lt;&gt;"")),1,1),306),"")</f>
        <v/>
      </c>
      <c r="B307">
        <f>IF(A307="","",INDEX(SORT(FILTER(Transactions!$A:$G,(Transactions!$C:$C="Buy")*(Transactions!$B:$B&lt;&gt;"")),2,1),306,1))</f>
        <v/>
      </c>
      <c r="C307">
        <f>IF(A307="","",INDEX(SORT(FILTER(Transactions!$A:$G,(Transactions!$C:$C="Buy")*(Transactions!$B:$B&lt;&gt;"")),2,1),306,4))</f>
        <v/>
      </c>
      <c r="D307">
        <f>IF(A307="","",INDEX(SORT(FILTER(Transactions!$A:$G,(Transactions!$C:$C="Buy")*(Transactions!$B:$B&lt;&gt;"")),2,1),306,5))</f>
        <v/>
      </c>
      <c r="E307">
        <f>IF(C307="","",C307*D307)</f>
        <v/>
      </c>
      <c r="F307">
        <f>IF(A307="","",SUMIFS(C$2:C307,A$2:A307,A307,B$2:B307,"&lt;="&amp;B307))</f>
        <v/>
      </c>
      <c r="G307">
        <f>IF(A307="","",SUMIFS(Transactions!$D:$D,Transactions!$B:$B,A307,Transactions!$C:$C,"Sell"))</f>
        <v/>
      </c>
      <c r="H307">
        <f>IF(A307="","",MAX(0,MIN(C307,G307-SUM(H$2:H306))))</f>
        <v/>
      </c>
      <c r="I307">
        <f>IF(C307="","",C307-H307)</f>
        <v/>
      </c>
      <c r="J307">
        <f>IF(I307="","",I307*D307)</f>
        <v/>
      </c>
    </row>
    <row r="308">
      <c r="A308">
        <f>IFERROR(INDEX(SORT(FILTER(Transactions!$B:$B,(Transactions!$C:$C="Buy")*(Transactions!$B:$B&lt;&gt;"")),1,1),307),"")</f>
        <v/>
      </c>
      <c r="B308">
        <f>IF(A308="","",INDEX(SORT(FILTER(Transactions!$A:$G,(Transactions!$C:$C="Buy")*(Transactions!$B:$B&lt;&gt;"")),2,1),307,1))</f>
        <v/>
      </c>
      <c r="C308">
        <f>IF(A308="","",INDEX(SORT(FILTER(Transactions!$A:$G,(Transactions!$C:$C="Buy")*(Transactions!$B:$B&lt;&gt;"")),2,1),307,4))</f>
        <v/>
      </c>
      <c r="D308">
        <f>IF(A308="","",INDEX(SORT(FILTER(Transactions!$A:$G,(Transactions!$C:$C="Buy")*(Transactions!$B:$B&lt;&gt;"")),2,1),307,5))</f>
        <v/>
      </c>
      <c r="E308">
        <f>IF(C308="","",C308*D308)</f>
        <v/>
      </c>
      <c r="F308">
        <f>IF(A308="","",SUMIFS(C$2:C308,A$2:A308,A308,B$2:B308,"&lt;="&amp;B308))</f>
        <v/>
      </c>
      <c r="G308">
        <f>IF(A308="","",SUMIFS(Transactions!$D:$D,Transactions!$B:$B,A308,Transactions!$C:$C,"Sell"))</f>
        <v/>
      </c>
      <c r="H308">
        <f>IF(A308="","",MAX(0,MIN(C308,G308-SUM(H$2:H307))))</f>
        <v/>
      </c>
      <c r="I308">
        <f>IF(C308="","",C308-H308)</f>
        <v/>
      </c>
      <c r="J308">
        <f>IF(I308="","",I308*D308)</f>
        <v/>
      </c>
    </row>
    <row r="309">
      <c r="A309">
        <f>IFERROR(INDEX(SORT(FILTER(Transactions!$B:$B,(Transactions!$C:$C="Buy")*(Transactions!$B:$B&lt;&gt;"")),1,1),308),"")</f>
        <v/>
      </c>
      <c r="B309">
        <f>IF(A309="","",INDEX(SORT(FILTER(Transactions!$A:$G,(Transactions!$C:$C="Buy")*(Transactions!$B:$B&lt;&gt;"")),2,1),308,1))</f>
        <v/>
      </c>
      <c r="C309">
        <f>IF(A309="","",INDEX(SORT(FILTER(Transactions!$A:$G,(Transactions!$C:$C="Buy")*(Transactions!$B:$B&lt;&gt;"")),2,1),308,4))</f>
        <v/>
      </c>
      <c r="D309">
        <f>IF(A309="","",INDEX(SORT(FILTER(Transactions!$A:$G,(Transactions!$C:$C="Buy")*(Transactions!$B:$B&lt;&gt;"")),2,1),308,5))</f>
        <v/>
      </c>
      <c r="E309">
        <f>IF(C309="","",C309*D309)</f>
        <v/>
      </c>
      <c r="F309">
        <f>IF(A309="","",SUMIFS(C$2:C309,A$2:A309,A309,B$2:B309,"&lt;="&amp;B309))</f>
        <v/>
      </c>
      <c r="G309">
        <f>IF(A309="","",SUMIFS(Transactions!$D:$D,Transactions!$B:$B,A309,Transactions!$C:$C,"Sell"))</f>
        <v/>
      </c>
      <c r="H309">
        <f>IF(A309="","",MAX(0,MIN(C309,G309-SUM(H$2:H308))))</f>
        <v/>
      </c>
      <c r="I309">
        <f>IF(C309="","",C309-H309)</f>
        <v/>
      </c>
      <c r="J309">
        <f>IF(I309="","",I309*D309)</f>
        <v/>
      </c>
    </row>
    <row r="310">
      <c r="A310">
        <f>IFERROR(INDEX(SORT(FILTER(Transactions!$B:$B,(Transactions!$C:$C="Buy")*(Transactions!$B:$B&lt;&gt;"")),1,1),309),"")</f>
        <v/>
      </c>
      <c r="B310">
        <f>IF(A310="","",INDEX(SORT(FILTER(Transactions!$A:$G,(Transactions!$C:$C="Buy")*(Transactions!$B:$B&lt;&gt;"")),2,1),309,1))</f>
        <v/>
      </c>
      <c r="C310">
        <f>IF(A310="","",INDEX(SORT(FILTER(Transactions!$A:$G,(Transactions!$C:$C="Buy")*(Transactions!$B:$B&lt;&gt;"")),2,1),309,4))</f>
        <v/>
      </c>
      <c r="D310">
        <f>IF(A310="","",INDEX(SORT(FILTER(Transactions!$A:$G,(Transactions!$C:$C="Buy")*(Transactions!$B:$B&lt;&gt;"")),2,1),309,5))</f>
        <v/>
      </c>
      <c r="E310">
        <f>IF(C310="","",C310*D310)</f>
        <v/>
      </c>
      <c r="F310">
        <f>IF(A310="","",SUMIFS(C$2:C310,A$2:A310,A310,B$2:B310,"&lt;="&amp;B310))</f>
        <v/>
      </c>
      <c r="G310">
        <f>IF(A310="","",SUMIFS(Transactions!$D:$D,Transactions!$B:$B,A310,Transactions!$C:$C,"Sell"))</f>
        <v/>
      </c>
      <c r="H310">
        <f>IF(A310="","",MAX(0,MIN(C310,G310-SUM(H$2:H309))))</f>
        <v/>
      </c>
      <c r="I310">
        <f>IF(C310="","",C310-H310)</f>
        <v/>
      </c>
      <c r="J310">
        <f>IF(I310="","",I310*D310)</f>
        <v/>
      </c>
    </row>
    <row r="311">
      <c r="A311">
        <f>IFERROR(INDEX(SORT(FILTER(Transactions!$B:$B,(Transactions!$C:$C="Buy")*(Transactions!$B:$B&lt;&gt;"")),1,1),310),"")</f>
        <v/>
      </c>
      <c r="B311">
        <f>IF(A311="","",INDEX(SORT(FILTER(Transactions!$A:$G,(Transactions!$C:$C="Buy")*(Transactions!$B:$B&lt;&gt;"")),2,1),310,1))</f>
        <v/>
      </c>
      <c r="C311">
        <f>IF(A311="","",INDEX(SORT(FILTER(Transactions!$A:$G,(Transactions!$C:$C="Buy")*(Transactions!$B:$B&lt;&gt;"")),2,1),310,4))</f>
        <v/>
      </c>
      <c r="D311">
        <f>IF(A311="","",INDEX(SORT(FILTER(Transactions!$A:$G,(Transactions!$C:$C="Buy")*(Transactions!$B:$B&lt;&gt;"")),2,1),310,5))</f>
        <v/>
      </c>
      <c r="E311">
        <f>IF(C311="","",C311*D311)</f>
        <v/>
      </c>
      <c r="F311">
        <f>IF(A311="","",SUMIFS(C$2:C311,A$2:A311,A311,B$2:B311,"&lt;="&amp;B311))</f>
        <v/>
      </c>
      <c r="G311">
        <f>IF(A311="","",SUMIFS(Transactions!$D:$D,Transactions!$B:$B,A311,Transactions!$C:$C,"Sell"))</f>
        <v/>
      </c>
      <c r="H311">
        <f>IF(A311="","",MAX(0,MIN(C311,G311-SUM(H$2:H310))))</f>
        <v/>
      </c>
      <c r="I311">
        <f>IF(C311="","",C311-H311)</f>
        <v/>
      </c>
      <c r="J311">
        <f>IF(I311="","",I311*D311)</f>
        <v/>
      </c>
    </row>
    <row r="312">
      <c r="A312">
        <f>IFERROR(INDEX(SORT(FILTER(Transactions!$B:$B,(Transactions!$C:$C="Buy")*(Transactions!$B:$B&lt;&gt;"")),1,1),311),"")</f>
        <v/>
      </c>
      <c r="B312">
        <f>IF(A312="","",INDEX(SORT(FILTER(Transactions!$A:$G,(Transactions!$C:$C="Buy")*(Transactions!$B:$B&lt;&gt;"")),2,1),311,1))</f>
        <v/>
      </c>
      <c r="C312">
        <f>IF(A312="","",INDEX(SORT(FILTER(Transactions!$A:$G,(Transactions!$C:$C="Buy")*(Transactions!$B:$B&lt;&gt;"")),2,1),311,4))</f>
        <v/>
      </c>
      <c r="D312">
        <f>IF(A312="","",INDEX(SORT(FILTER(Transactions!$A:$G,(Transactions!$C:$C="Buy")*(Transactions!$B:$B&lt;&gt;"")),2,1),311,5))</f>
        <v/>
      </c>
      <c r="E312">
        <f>IF(C312="","",C312*D312)</f>
        <v/>
      </c>
      <c r="F312">
        <f>IF(A312="","",SUMIFS(C$2:C312,A$2:A312,A312,B$2:B312,"&lt;="&amp;B312))</f>
        <v/>
      </c>
      <c r="G312">
        <f>IF(A312="","",SUMIFS(Transactions!$D:$D,Transactions!$B:$B,A312,Transactions!$C:$C,"Sell"))</f>
        <v/>
      </c>
      <c r="H312">
        <f>IF(A312="","",MAX(0,MIN(C312,G312-SUM(H$2:H311))))</f>
        <v/>
      </c>
      <c r="I312">
        <f>IF(C312="","",C312-H312)</f>
        <v/>
      </c>
      <c r="J312">
        <f>IF(I312="","",I312*D312)</f>
        <v/>
      </c>
    </row>
    <row r="313">
      <c r="A313">
        <f>IFERROR(INDEX(SORT(FILTER(Transactions!$B:$B,(Transactions!$C:$C="Buy")*(Transactions!$B:$B&lt;&gt;"")),1,1),312),"")</f>
        <v/>
      </c>
      <c r="B313">
        <f>IF(A313="","",INDEX(SORT(FILTER(Transactions!$A:$G,(Transactions!$C:$C="Buy")*(Transactions!$B:$B&lt;&gt;"")),2,1),312,1))</f>
        <v/>
      </c>
      <c r="C313">
        <f>IF(A313="","",INDEX(SORT(FILTER(Transactions!$A:$G,(Transactions!$C:$C="Buy")*(Transactions!$B:$B&lt;&gt;"")),2,1),312,4))</f>
        <v/>
      </c>
      <c r="D313">
        <f>IF(A313="","",INDEX(SORT(FILTER(Transactions!$A:$G,(Transactions!$C:$C="Buy")*(Transactions!$B:$B&lt;&gt;"")),2,1),312,5))</f>
        <v/>
      </c>
      <c r="E313">
        <f>IF(C313="","",C313*D313)</f>
        <v/>
      </c>
      <c r="F313">
        <f>IF(A313="","",SUMIFS(C$2:C313,A$2:A313,A313,B$2:B313,"&lt;="&amp;B313))</f>
        <v/>
      </c>
      <c r="G313">
        <f>IF(A313="","",SUMIFS(Transactions!$D:$D,Transactions!$B:$B,A313,Transactions!$C:$C,"Sell"))</f>
        <v/>
      </c>
      <c r="H313">
        <f>IF(A313="","",MAX(0,MIN(C313,G313-SUM(H$2:H312))))</f>
        <v/>
      </c>
      <c r="I313">
        <f>IF(C313="","",C313-H313)</f>
        <v/>
      </c>
      <c r="J313">
        <f>IF(I313="","",I313*D313)</f>
        <v/>
      </c>
    </row>
    <row r="314">
      <c r="A314">
        <f>IFERROR(INDEX(SORT(FILTER(Transactions!$B:$B,(Transactions!$C:$C="Buy")*(Transactions!$B:$B&lt;&gt;"")),1,1),313),"")</f>
        <v/>
      </c>
      <c r="B314">
        <f>IF(A314="","",INDEX(SORT(FILTER(Transactions!$A:$G,(Transactions!$C:$C="Buy")*(Transactions!$B:$B&lt;&gt;"")),2,1),313,1))</f>
        <v/>
      </c>
      <c r="C314">
        <f>IF(A314="","",INDEX(SORT(FILTER(Transactions!$A:$G,(Transactions!$C:$C="Buy")*(Transactions!$B:$B&lt;&gt;"")),2,1),313,4))</f>
        <v/>
      </c>
      <c r="D314">
        <f>IF(A314="","",INDEX(SORT(FILTER(Transactions!$A:$G,(Transactions!$C:$C="Buy")*(Transactions!$B:$B&lt;&gt;"")),2,1),313,5))</f>
        <v/>
      </c>
      <c r="E314">
        <f>IF(C314="","",C314*D314)</f>
        <v/>
      </c>
      <c r="F314">
        <f>IF(A314="","",SUMIFS(C$2:C314,A$2:A314,A314,B$2:B314,"&lt;="&amp;B314))</f>
        <v/>
      </c>
      <c r="G314">
        <f>IF(A314="","",SUMIFS(Transactions!$D:$D,Transactions!$B:$B,A314,Transactions!$C:$C,"Sell"))</f>
        <v/>
      </c>
      <c r="H314">
        <f>IF(A314="","",MAX(0,MIN(C314,G314-SUM(H$2:H313))))</f>
        <v/>
      </c>
      <c r="I314">
        <f>IF(C314="","",C314-H314)</f>
        <v/>
      </c>
      <c r="J314">
        <f>IF(I314="","",I314*D314)</f>
        <v/>
      </c>
    </row>
    <row r="315">
      <c r="A315">
        <f>IFERROR(INDEX(SORT(FILTER(Transactions!$B:$B,(Transactions!$C:$C="Buy")*(Transactions!$B:$B&lt;&gt;"")),1,1),314),"")</f>
        <v/>
      </c>
      <c r="B315">
        <f>IF(A315="","",INDEX(SORT(FILTER(Transactions!$A:$G,(Transactions!$C:$C="Buy")*(Transactions!$B:$B&lt;&gt;"")),2,1),314,1))</f>
        <v/>
      </c>
      <c r="C315">
        <f>IF(A315="","",INDEX(SORT(FILTER(Transactions!$A:$G,(Transactions!$C:$C="Buy")*(Transactions!$B:$B&lt;&gt;"")),2,1),314,4))</f>
        <v/>
      </c>
      <c r="D315">
        <f>IF(A315="","",INDEX(SORT(FILTER(Transactions!$A:$G,(Transactions!$C:$C="Buy")*(Transactions!$B:$B&lt;&gt;"")),2,1),314,5))</f>
        <v/>
      </c>
      <c r="E315">
        <f>IF(C315="","",C315*D315)</f>
        <v/>
      </c>
      <c r="F315">
        <f>IF(A315="","",SUMIFS(C$2:C315,A$2:A315,A315,B$2:B315,"&lt;="&amp;B315))</f>
        <v/>
      </c>
      <c r="G315">
        <f>IF(A315="","",SUMIFS(Transactions!$D:$D,Transactions!$B:$B,A315,Transactions!$C:$C,"Sell"))</f>
        <v/>
      </c>
      <c r="H315">
        <f>IF(A315="","",MAX(0,MIN(C315,G315-SUM(H$2:H314))))</f>
        <v/>
      </c>
      <c r="I315">
        <f>IF(C315="","",C315-H315)</f>
        <v/>
      </c>
      <c r="J315">
        <f>IF(I315="","",I315*D315)</f>
        <v/>
      </c>
    </row>
    <row r="316">
      <c r="A316">
        <f>IFERROR(INDEX(SORT(FILTER(Transactions!$B:$B,(Transactions!$C:$C="Buy")*(Transactions!$B:$B&lt;&gt;"")),1,1),315),"")</f>
        <v/>
      </c>
      <c r="B316">
        <f>IF(A316="","",INDEX(SORT(FILTER(Transactions!$A:$G,(Transactions!$C:$C="Buy")*(Transactions!$B:$B&lt;&gt;"")),2,1),315,1))</f>
        <v/>
      </c>
      <c r="C316">
        <f>IF(A316="","",INDEX(SORT(FILTER(Transactions!$A:$G,(Transactions!$C:$C="Buy")*(Transactions!$B:$B&lt;&gt;"")),2,1),315,4))</f>
        <v/>
      </c>
      <c r="D316">
        <f>IF(A316="","",INDEX(SORT(FILTER(Transactions!$A:$G,(Transactions!$C:$C="Buy")*(Transactions!$B:$B&lt;&gt;"")),2,1),315,5))</f>
        <v/>
      </c>
      <c r="E316">
        <f>IF(C316="","",C316*D316)</f>
        <v/>
      </c>
      <c r="F316">
        <f>IF(A316="","",SUMIFS(C$2:C316,A$2:A316,A316,B$2:B316,"&lt;="&amp;B316))</f>
        <v/>
      </c>
      <c r="G316">
        <f>IF(A316="","",SUMIFS(Transactions!$D:$D,Transactions!$B:$B,A316,Transactions!$C:$C,"Sell"))</f>
        <v/>
      </c>
      <c r="H316">
        <f>IF(A316="","",MAX(0,MIN(C316,G316-SUM(H$2:H315))))</f>
        <v/>
      </c>
      <c r="I316">
        <f>IF(C316="","",C316-H316)</f>
        <v/>
      </c>
      <c r="J316">
        <f>IF(I316="","",I316*D316)</f>
        <v/>
      </c>
    </row>
    <row r="317">
      <c r="A317">
        <f>IFERROR(INDEX(SORT(FILTER(Transactions!$B:$B,(Transactions!$C:$C="Buy")*(Transactions!$B:$B&lt;&gt;"")),1,1),316),"")</f>
        <v/>
      </c>
      <c r="B317">
        <f>IF(A317="","",INDEX(SORT(FILTER(Transactions!$A:$G,(Transactions!$C:$C="Buy")*(Transactions!$B:$B&lt;&gt;"")),2,1),316,1))</f>
        <v/>
      </c>
      <c r="C317">
        <f>IF(A317="","",INDEX(SORT(FILTER(Transactions!$A:$G,(Transactions!$C:$C="Buy")*(Transactions!$B:$B&lt;&gt;"")),2,1),316,4))</f>
        <v/>
      </c>
      <c r="D317">
        <f>IF(A317="","",INDEX(SORT(FILTER(Transactions!$A:$G,(Transactions!$C:$C="Buy")*(Transactions!$B:$B&lt;&gt;"")),2,1),316,5))</f>
        <v/>
      </c>
      <c r="E317">
        <f>IF(C317="","",C317*D317)</f>
        <v/>
      </c>
      <c r="F317">
        <f>IF(A317="","",SUMIFS(C$2:C317,A$2:A317,A317,B$2:B317,"&lt;="&amp;B317))</f>
        <v/>
      </c>
      <c r="G317">
        <f>IF(A317="","",SUMIFS(Transactions!$D:$D,Transactions!$B:$B,A317,Transactions!$C:$C,"Sell"))</f>
        <v/>
      </c>
      <c r="H317">
        <f>IF(A317="","",MAX(0,MIN(C317,G317-SUM(H$2:H316))))</f>
        <v/>
      </c>
      <c r="I317">
        <f>IF(C317="","",C317-H317)</f>
        <v/>
      </c>
      <c r="J317">
        <f>IF(I317="","",I317*D317)</f>
        <v/>
      </c>
    </row>
    <row r="318">
      <c r="A318">
        <f>IFERROR(INDEX(SORT(FILTER(Transactions!$B:$B,(Transactions!$C:$C="Buy")*(Transactions!$B:$B&lt;&gt;"")),1,1),317),"")</f>
        <v/>
      </c>
      <c r="B318">
        <f>IF(A318="","",INDEX(SORT(FILTER(Transactions!$A:$G,(Transactions!$C:$C="Buy")*(Transactions!$B:$B&lt;&gt;"")),2,1),317,1))</f>
        <v/>
      </c>
      <c r="C318">
        <f>IF(A318="","",INDEX(SORT(FILTER(Transactions!$A:$G,(Transactions!$C:$C="Buy")*(Transactions!$B:$B&lt;&gt;"")),2,1),317,4))</f>
        <v/>
      </c>
      <c r="D318">
        <f>IF(A318="","",INDEX(SORT(FILTER(Transactions!$A:$G,(Transactions!$C:$C="Buy")*(Transactions!$B:$B&lt;&gt;"")),2,1),317,5))</f>
        <v/>
      </c>
      <c r="E318">
        <f>IF(C318="","",C318*D318)</f>
        <v/>
      </c>
      <c r="F318">
        <f>IF(A318="","",SUMIFS(C$2:C318,A$2:A318,A318,B$2:B318,"&lt;="&amp;B318))</f>
        <v/>
      </c>
      <c r="G318">
        <f>IF(A318="","",SUMIFS(Transactions!$D:$D,Transactions!$B:$B,A318,Transactions!$C:$C,"Sell"))</f>
        <v/>
      </c>
      <c r="H318">
        <f>IF(A318="","",MAX(0,MIN(C318,G318-SUM(H$2:H317))))</f>
        <v/>
      </c>
      <c r="I318">
        <f>IF(C318="","",C318-H318)</f>
        <v/>
      </c>
      <c r="J318">
        <f>IF(I318="","",I318*D318)</f>
        <v/>
      </c>
    </row>
    <row r="319">
      <c r="A319">
        <f>IFERROR(INDEX(SORT(FILTER(Transactions!$B:$B,(Transactions!$C:$C="Buy")*(Transactions!$B:$B&lt;&gt;"")),1,1),318),"")</f>
        <v/>
      </c>
      <c r="B319">
        <f>IF(A319="","",INDEX(SORT(FILTER(Transactions!$A:$G,(Transactions!$C:$C="Buy")*(Transactions!$B:$B&lt;&gt;"")),2,1),318,1))</f>
        <v/>
      </c>
      <c r="C319">
        <f>IF(A319="","",INDEX(SORT(FILTER(Transactions!$A:$G,(Transactions!$C:$C="Buy")*(Transactions!$B:$B&lt;&gt;"")),2,1),318,4))</f>
        <v/>
      </c>
      <c r="D319">
        <f>IF(A319="","",INDEX(SORT(FILTER(Transactions!$A:$G,(Transactions!$C:$C="Buy")*(Transactions!$B:$B&lt;&gt;"")),2,1),318,5))</f>
        <v/>
      </c>
      <c r="E319">
        <f>IF(C319="","",C319*D319)</f>
        <v/>
      </c>
      <c r="F319">
        <f>IF(A319="","",SUMIFS(C$2:C319,A$2:A319,A319,B$2:B319,"&lt;="&amp;B319))</f>
        <v/>
      </c>
      <c r="G319">
        <f>IF(A319="","",SUMIFS(Transactions!$D:$D,Transactions!$B:$B,A319,Transactions!$C:$C,"Sell"))</f>
        <v/>
      </c>
      <c r="H319">
        <f>IF(A319="","",MAX(0,MIN(C319,G319-SUM(H$2:H318))))</f>
        <v/>
      </c>
      <c r="I319">
        <f>IF(C319="","",C319-H319)</f>
        <v/>
      </c>
      <c r="J319">
        <f>IF(I319="","",I319*D319)</f>
        <v/>
      </c>
    </row>
    <row r="320">
      <c r="A320">
        <f>IFERROR(INDEX(SORT(FILTER(Transactions!$B:$B,(Transactions!$C:$C="Buy")*(Transactions!$B:$B&lt;&gt;"")),1,1),319),"")</f>
        <v/>
      </c>
      <c r="B320">
        <f>IF(A320="","",INDEX(SORT(FILTER(Transactions!$A:$G,(Transactions!$C:$C="Buy")*(Transactions!$B:$B&lt;&gt;"")),2,1),319,1))</f>
        <v/>
      </c>
      <c r="C320">
        <f>IF(A320="","",INDEX(SORT(FILTER(Transactions!$A:$G,(Transactions!$C:$C="Buy")*(Transactions!$B:$B&lt;&gt;"")),2,1),319,4))</f>
        <v/>
      </c>
      <c r="D320">
        <f>IF(A320="","",INDEX(SORT(FILTER(Transactions!$A:$G,(Transactions!$C:$C="Buy")*(Transactions!$B:$B&lt;&gt;"")),2,1),319,5))</f>
        <v/>
      </c>
      <c r="E320">
        <f>IF(C320="","",C320*D320)</f>
        <v/>
      </c>
      <c r="F320">
        <f>IF(A320="","",SUMIFS(C$2:C320,A$2:A320,A320,B$2:B320,"&lt;="&amp;B320))</f>
        <v/>
      </c>
      <c r="G320">
        <f>IF(A320="","",SUMIFS(Transactions!$D:$D,Transactions!$B:$B,A320,Transactions!$C:$C,"Sell"))</f>
        <v/>
      </c>
      <c r="H320">
        <f>IF(A320="","",MAX(0,MIN(C320,G320-SUM(H$2:H319))))</f>
        <v/>
      </c>
      <c r="I320">
        <f>IF(C320="","",C320-H320)</f>
        <v/>
      </c>
      <c r="J320">
        <f>IF(I320="","",I320*D320)</f>
        <v/>
      </c>
    </row>
    <row r="321">
      <c r="A321">
        <f>IFERROR(INDEX(SORT(FILTER(Transactions!$B:$B,(Transactions!$C:$C="Buy")*(Transactions!$B:$B&lt;&gt;"")),1,1),320),"")</f>
        <v/>
      </c>
      <c r="B321">
        <f>IF(A321="","",INDEX(SORT(FILTER(Transactions!$A:$G,(Transactions!$C:$C="Buy")*(Transactions!$B:$B&lt;&gt;"")),2,1),320,1))</f>
        <v/>
      </c>
      <c r="C321">
        <f>IF(A321="","",INDEX(SORT(FILTER(Transactions!$A:$G,(Transactions!$C:$C="Buy")*(Transactions!$B:$B&lt;&gt;"")),2,1),320,4))</f>
        <v/>
      </c>
      <c r="D321">
        <f>IF(A321="","",INDEX(SORT(FILTER(Transactions!$A:$G,(Transactions!$C:$C="Buy")*(Transactions!$B:$B&lt;&gt;"")),2,1),320,5))</f>
        <v/>
      </c>
      <c r="E321">
        <f>IF(C321="","",C321*D321)</f>
        <v/>
      </c>
      <c r="F321">
        <f>IF(A321="","",SUMIFS(C$2:C321,A$2:A321,A321,B$2:B321,"&lt;="&amp;B321))</f>
        <v/>
      </c>
      <c r="G321">
        <f>IF(A321="","",SUMIFS(Transactions!$D:$D,Transactions!$B:$B,A321,Transactions!$C:$C,"Sell"))</f>
        <v/>
      </c>
      <c r="H321">
        <f>IF(A321="","",MAX(0,MIN(C321,G321-SUM(H$2:H320))))</f>
        <v/>
      </c>
      <c r="I321">
        <f>IF(C321="","",C321-H321)</f>
        <v/>
      </c>
      <c r="J321">
        <f>IF(I321="","",I321*D321)</f>
        <v/>
      </c>
    </row>
    <row r="322">
      <c r="A322">
        <f>IFERROR(INDEX(SORT(FILTER(Transactions!$B:$B,(Transactions!$C:$C="Buy")*(Transactions!$B:$B&lt;&gt;"")),1,1),321),"")</f>
        <v/>
      </c>
      <c r="B322">
        <f>IF(A322="","",INDEX(SORT(FILTER(Transactions!$A:$G,(Transactions!$C:$C="Buy")*(Transactions!$B:$B&lt;&gt;"")),2,1),321,1))</f>
        <v/>
      </c>
      <c r="C322">
        <f>IF(A322="","",INDEX(SORT(FILTER(Transactions!$A:$G,(Transactions!$C:$C="Buy")*(Transactions!$B:$B&lt;&gt;"")),2,1),321,4))</f>
        <v/>
      </c>
      <c r="D322">
        <f>IF(A322="","",INDEX(SORT(FILTER(Transactions!$A:$G,(Transactions!$C:$C="Buy")*(Transactions!$B:$B&lt;&gt;"")),2,1),321,5))</f>
        <v/>
      </c>
      <c r="E322">
        <f>IF(C322="","",C322*D322)</f>
        <v/>
      </c>
      <c r="F322">
        <f>IF(A322="","",SUMIFS(C$2:C322,A$2:A322,A322,B$2:B322,"&lt;="&amp;B322))</f>
        <v/>
      </c>
      <c r="G322">
        <f>IF(A322="","",SUMIFS(Transactions!$D:$D,Transactions!$B:$B,A322,Transactions!$C:$C,"Sell"))</f>
        <v/>
      </c>
      <c r="H322">
        <f>IF(A322="","",MAX(0,MIN(C322,G322-SUM(H$2:H321))))</f>
        <v/>
      </c>
      <c r="I322">
        <f>IF(C322="","",C322-H322)</f>
        <v/>
      </c>
      <c r="J322">
        <f>IF(I322="","",I322*D322)</f>
        <v/>
      </c>
    </row>
    <row r="323">
      <c r="A323">
        <f>IFERROR(INDEX(SORT(FILTER(Transactions!$B:$B,(Transactions!$C:$C="Buy")*(Transactions!$B:$B&lt;&gt;"")),1,1),322),"")</f>
        <v/>
      </c>
      <c r="B323">
        <f>IF(A323="","",INDEX(SORT(FILTER(Transactions!$A:$G,(Transactions!$C:$C="Buy")*(Transactions!$B:$B&lt;&gt;"")),2,1),322,1))</f>
        <v/>
      </c>
      <c r="C323">
        <f>IF(A323="","",INDEX(SORT(FILTER(Transactions!$A:$G,(Transactions!$C:$C="Buy")*(Transactions!$B:$B&lt;&gt;"")),2,1),322,4))</f>
        <v/>
      </c>
      <c r="D323">
        <f>IF(A323="","",INDEX(SORT(FILTER(Transactions!$A:$G,(Transactions!$C:$C="Buy")*(Transactions!$B:$B&lt;&gt;"")),2,1),322,5))</f>
        <v/>
      </c>
      <c r="E323">
        <f>IF(C323="","",C323*D323)</f>
        <v/>
      </c>
      <c r="F323">
        <f>IF(A323="","",SUMIFS(C$2:C323,A$2:A323,A323,B$2:B323,"&lt;="&amp;B323))</f>
        <v/>
      </c>
      <c r="G323">
        <f>IF(A323="","",SUMIFS(Transactions!$D:$D,Transactions!$B:$B,A323,Transactions!$C:$C,"Sell"))</f>
        <v/>
      </c>
      <c r="H323">
        <f>IF(A323="","",MAX(0,MIN(C323,G323-SUM(H$2:H322))))</f>
        <v/>
      </c>
      <c r="I323">
        <f>IF(C323="","",C323-H323)</f>
        <v/>
      </c>
      <c r="J323">
        <f>IF(I323="","",I323*D323)</f>
        <v/>
      </c>
    </row>
    <row r="324">
      <c r="A324">
        <f>IFERROR(INDEX(SORT(FILTER(Transactions!$B:$B,(Transactions!$C:$C="Buy")*(Transactions!$B:$B&lt;&gt;"")),1,1),323),"")</f>
        <v/>
      </c>
      <c r="B324">
        <f>IF(A324="","",INDEX(SORT(FILTER(Transactions!$A:$G,(Transactions!$C:$C="Buy")*(Transactions!$B:$B&lt;&gt;"")),2,1),323,1))</f>
        <v/>
      </c>
      <c r="C324">
        <f>IF(A324="","",INDEX(SORT(FILTER(Transactions!$A:$G,(Transactions!$C:$C="Buy")*(Transactions!$B:$B&lt;&gt;"")),2,1),323,4))</f>
        <v/>
      </c>
      <c r="D324">
        <f>IF(A324="","",INDEX(SORT(FILTER(Transactions!$A:$G,(Transactions!$C:$C="Buy")*(Transactions!$B:$B&lt;&gt;"")),2,1),323,5))</f>
        <v/>
      </c>
      <c r="E324">
        <f>IF(C324="","",C324*D324)</f>
        <v/>
      </c>
      <c r="F324">
        <f>IF(A324="","",SUMIFS(C$2:C324,A$2:A324,A324,B$2:B324,"&lt;="&amp;B324))</f>
        <v/>
      </c>
      <c r="G324">
        <f>IF(A324="","",SUMIFS(Transactions!$D:$D,Transactions!$B:$B,A324,Transactions!$C:$C,"Sell"))</f>
        <v/>
      </c>
      <c r="H324">
        <f>IF(A324="","",MAX(0,MIN(C324,G324-SUM(H$2:H323))))</f>
        <v/>
      </c>
      <c r="I324">
        <f>IF(C324="","",C324-H324)</f>
        <v/>
      </c>
      <c r="J324">
        <f>IF(I324="","",I324*D324)</f>
        <v/>
      </c>
    </row>
    <row r="325">
      <c r="A325">
        <f>IFERROR(INDEX(SORT(FILTER(Transactions!$B:$B,(Transactions!$C:$C="Buy")*(Transactions!$B:$B&lt;&gt;"")),1,1),324),"")</f>
        <v/>
      </c>
      <c r="B325">
        <f>IF(A325="","",INDEX(SORT(FILTER(Transactions!$A:$G,(Transactions!$C:$C="Buy")*(Transactions!$B:$B&lt;&gt;"")),2,1),324,1))</f>
        <v/>
      </c>
      <c r="C325">
        <f>IF(A325="","",INDEX(SORT(FILTER(Transactions!$A:$G,(Transactions!$C:$C="Buy")*(Transactions!$B:$B&lt;&gt;"")),2,1),324,4))</f>
        <v/>
      </c>
      <c r="D325">
        <f>IF(A325="","",INDEX(SORT(FILTER(Transactions!$A:$G,(Transactions!$C:$C="Buy")*(Transactions!$B:$B&lt;&gt;"")),2,1),324,5))</f>
        <v/>
      </c>
      <c r="E325">
        <f>IF(C325="","",C325*D325)</f>
        <v/>
      </c>
      <c r="F325">
        <f>IF(A325="","",SUMIFS(C$2:C325,A$2:A325,A325,B$2:B325,"&lt;="&amp;B325))</f>
        <v/>
      </c>
      <c r="G325">
        <f>IF(A325="","",SUMIFS(Transactions!$D:$D,Transactions!$B:$B,A325,Transactions!$C:$C,"Sell"))</f>
        <v/>
      </c>
      <c r="H325">
        <f>IF(A325="","",MAX(0,MIN(C325,G325-SUM(H$2:H324))))</f>
        <v/>
      </c>
      <c r="I325">
        <f>IF(C325="","",C325-H325)</f>
        <v/>
      </c>
      <c r="J325">
        <f>IF(I325="","",I325*D325)</f>
        <v/>
      </c>
    </row>
    <row r="326">
      <c r="A326">
        <f>IFERROR(INDEX(SORT(FILTER(Transactions!$B:$B,(Transactions!$C:$C="Buy")*(Transactions!$B:$B&lt;&gt;"")),1,1),325),"")</f>
        <v/>
      </c>
      <c r="B326">
        <f>IF(A326="","",INDEX(SORT(FILTER(Transactions!$A:$G,(Transactions!$C:$C="Buy")*(Transactions!$B:$B&lt;&gt;"")),2,1),325,1))</f>
        <v/>
      </c>
      <c r="C326">
        <f>IF(A326="","",INDEX(SORT(FILTER(Transactions!$A:$G,(Transactions!$C:$C="Buy")*(Transactions!$B:$B&lt;&gt;"")),2,1),325,4))</f>
        <v/>
      </c>
      <c r="D326">
        <f>IF(A326="","",INDEX(SORT(FILTER(Transactions!$A:$G,(Transactions!$C:$C="Buy")*(Transactions!$B:$B&lt;&gt;"")),2,1),325,5))</f>
        <v/>
      </c>
      <c r="E326">
        <f>IF(C326="","",C326*D326)</f>
        <v/>
      </c>
      <c r="F326">
        <f>IF(A326="","",SUMIFS(C$2:C326,A$2:A326,A326,B$2:B326,"&lt;="&amp;B326))</f>
        <v/>
      </c>
      <c r="G326">
        <f>IF(A326="","",SUMIFS(Transactions!$D:$D,Transactions!$B:$B,A326,Transactions!$C:$C,"Sell"))</f>
        <v/>
      </c>
      <c r="H326">
        <f>IF(A326="","",MAX(0,MIN(C326,G326-SUM(H$2:H325))))</f>
        <v/>
      </c>
      <c r="I326">
        <f>IF(C326="","",C326-H326)</f>
        <v/>
      </c>
      <c r="J326">
        <f>IF(I326="","",I326*D326)</f>
        <v/>
      </c>
    </row>
    <row r="327">
      <c r="A327">
        <f>IFERROR(INDEX(SORT(FILTER(Transactions!$B:$B,(Transactions!$C:$C="Buy")*(Transactions!$B:$B&lt;&gt;"")),1,1),326),"")</f>
        <v/>
      </c>
      <c r="B327">
        <f>IF(A327="","",INDEX(SORT(FILTER(Transactions!$A:$G,(Transactions!$C:$C="Buy")*(Transactions!$B:$B&lt;&gt;"")),2,1),326,1))</f>
        <v/>
      </c>
      <c r="C327">
        <f>IF(A327="","",INDEX(SORT(FILTER(Transactions!$A:$G,(Transactions!$C:$C="Buy")*(Transactions!$B:$B&lt;&gt;"")),2,1),326,4))</f>
        <v/>
      </c>
      <c r="D327">
        <f>IF(A327="","",INDEX(SORT(FILTER(Transactions!$A:$G,(Transactions!$C:$C="Buy")*(Transactions!$B:$B&lt;&gt;"")),2,1),326,5))</f>
        <v/>
      </c>
      <c r="E327">
        <f>IF(C327="","",C327*D327)</f>
        <v/>
      </c>
      <c r="F327">
        <f>IF(A327="","",SUMIFS(C$2:C327,A$2:A327,A327,B$2:B327,"&lt;="&amp;B327))</f>
        <v/>
      </c>
      <c r="G327">
        <f>IF(A327="","",SUMIFS(Transactions!$D:$D,Transactions!$B:$B,A327,Transactions!$C:$C,"Sell"))</f>
        <v/>
      </c>
      <c r="H327">
        <f>IF(A327="","",MAX(0,MIN(C327,G327-SUM(H$2:H326))))</f>
        <v/>
      </c>
      <c r="I327">
        <f>IF(C327="","",C327-H327)</f>
        <v/>
      </c>
      <c r="J327">
        <f>IF(I327="","",I327*D327)</f>
        <v/>
      </c>
    </row>
    <row r="328">
      <c r="A328">
        <f>IFERROR(INDEX(SORT(FILTER(Transactions!$B:$B,(Transactions!$C:$C="Buy")*(Transactions!$B:$B&lt;&gt;"")),1,1),327),"")</f>
        <v/>
      </c>
      <c r="B328">
        <f>IF(A328="","",INDEX(SORT(FILTER(Transactions!$A:$G,(Transactions!$C:$C="Buy")*(Transactions!$B:$B&lt;&gt;"")),2,1),327,1))</f>
        <v/>
      </c>
      <c r="C328">
        <f>IF(A328="","",INDEX(SORT(FILTER(Transactions!$A:$G,(Transactions!$C:$C="Buy")*(Transactions!$B:$B&lt;&gt;"")),2,1),327,4))</f>
        <v/>
      </c>
      <c r="D328">
        <f>IF(A328="","",INDEX(SORT(FILTER(Transactions!$A:$G,(Transactions!$C:$C="Buy")*(Transactions!$B:$B&lt;&gt;"")),2,1),327,5))</f>
        <v/>
      </c>
      <c r="E328">
        <f>IF(C328="","",C328*D328)</f>
        <v/>
      </c>
      <c r="F328">
        <f>IF(A328="","",SUMIFS(C$2:C328,A$2:A328,A328,B$2:B328,"&lt;="&amp;B328))</f>
        <v/>
      </c>
      <c r="G328">
        <f>IF(A328="","",SUMIFS(Transactions!$D:$D,Transactions!$B:$B,A328,Transactions!$C:$C,"Sell"))</f>
        <v/>
      </c>
      <c r="H328">
        <f>IF(A328="","",MAX(0,MIN(C328,G328-SUM(H$2:H327))))</f>
        <v/>
      </c>
      <c r="I328">
        <f>IF(C328="","",C328-H328)</f>
        <v/>
      </c>
      <c r="J328">
        <f>IF(I328="","",I328*D328)</f>
        <v/>
      </c>
    </row>
    <row r="329">
      <c r="A329">
        <f>IFERROR(INDEX(SORT(FILTER(Transactions!$B:$B,(Transactions!$C:$C="Buy")*(Transactions!$B:$B&lt;&gt;"")),1,1),328),"")</f>
        <v/>
      </c>
      <c r="B329">
        <f>IF(A329="","",INDEX(SORT(FILTER(Transactions!$A:$G,(Transactions!$C:$C="Buy")*(Transactions!$B:$B&lt;&gt;"")),2,1),328,1))</f>
        <v/>
      </c>
      <c r="C329">
        <f>IF(A329="","",INDEX(SORT(FILTER(Transactions!$A:$G,(Transactions!$C:$C="Buy")*(Transactions!$B:$B&lt;&gt;"")),2,1),328,4))</f>
        <v/>
      </c>
      <c r="D329">
        <f>IF(A329="","",INDEX(SORT(FILTER(Transactions!$A:$G,(Transactions!$C:$C="Buy")*(Transactions!$B:$B&lt;&gt;"")),2,1),328,5))</f>
        <v/>
      </c>
      <c r="E329">
        <f>IF(C329="","",C329*D329)</f>
        <v/>
      </c>
      <c r="F329">
        <f>IF(A329="","",SUMIFS(C$2:C329,A$2:A329,A329,B$2:B329,"&lt;="&amp;B329))</f>
        <v/>
      </c>
      <c r="G329">
        <f>IF(A329="","",SUMIFS(Transactions!$D:$D,Transactions!$B:$B,A329,Transactions!$C:$C,"Sell"))</f>
        <v/>
      </c>
      <c r="H329">
        <f>IF(A329="","",MAX(0,MIN(C329,G329-SUM(H$2:H328))))</f>
        <v/>
      </c>
      <c r="I329">
        <f>IF(C329="","",C329-H329)</f>
        <v/>
      </c>
      <c r="J329">
        <f>IF(I329="","",I329*D329)</f>
        <v/>
      </c>
    </row>
    <row r="330">
      <c r="A330">
        <f>IFERROR(INDEX(SORT(FILTER(Transactions!$B:$B,(Transactions!$C:$C="Buy")*(Transactions!$B:$B&lt;&gt;"")),1,1),329),"")</f>
        <v/>
      </c>
      <c r="B330">
        <f>IF(A330="","",INDEX(SORT(FILTER(Transactions!$A:$G,(Transactions!$C:$C="Buy")*(Transactions!$B:$B&lt;&gt;"")),2,1),329,1))</f>
        <v/>
      </c>
      <c r="C330">
        <f>IF(A330="","",INDEX(SORT(FILTER(Transactions!$A:$G,(Transactions!$C:$C="Buy")*(Transactions!$B:$B&lt;&gt;"")),2,1),329,4))</f>
        <v/>
      </c>
      <c r="D330">
        <f>IF(A330="","",INDEX(SORT(FILTER(Transactions!$A:$G,(Transactions!$C:$C="Buy")*(Transactions!$B:$B&lt;&gt;"")),2,1),329,5))</f>
        <v/>
      </c>
      <c r="E330">
        <f>IF(C330="","",C330*D330)</f>
        <v/>
      </c>
      <c r="F330">
        <f>IF(A330="","",SUMIFS(C$2:C330,A$2:A330,A330,B$2:B330,"&lt;="&amp;B330))</f>
        <v/>
      </c>
      <c r="G330">
        <f>IF(A330="","",SUMIFS(Transactions!$D:$D,Transactions!$B:$B,A330,Transactions!$C:$C,"Sell"))</f>
        <v/>
      </c>
      <c r="H330">
        <f>IF(A330="","",MAX(0,MIN(C330,G330-SUM(H$2:H329))))</f>
        <v/>
      </c>
      <c r="I330">
        <f>IF(C330="","",C330-H330)</f>
        <v/>
      </c>
      <c r="J330">
        <f>IF(I330="","",I330*D330)</f>
        <v/>
      </c>
    </row>
    <row r="331">
      <c r="A331">
        <f>IFERROR(INDEX(SORT(FILTER(Transactions!$B:$B,(Transactions!$C:$C="Buy")*(Transactions!$B:$B&lt;&gt;"")),1,1),330),"")</f>
        <v/>
      </c>
      <c r="B331">
        <f>IF(A331="","",INDEX(SORT(FILTER(Transactions!$A:$G,(Transactions!$C:$C="Buy")*(Transactions!$B:$B&lt;&gt;"")),2,1),330,1))</f>
        <v/>
      </c>
      <c r="C331">
        <f>IF(A331="","",INDEX(SORT(FILTER(Transactions!$A:$G,(Transactions!$C:$C="Buy")*(Transactions!$B:$B&lt;&gt;"")),2,1),330,4))</f>
        <v/>
      </c>
      <c r="D331">
        <f>IF(A331="","",INDEX(SORT(FILTER(Transactions!$A:$G,(Transactions!$C:$C="Buy")*(Transactions!$B:$B&lt;&gt;"")),2,1),330,5))</f>
        <v/>
      </c>
      <c r="E331">
        <f>IF(C331="","",C331*D331)</f>
        <v/>
      </c>
      <c r="F331">
        <f>IF(A331="","",SUMIFS(C$2:C331,A$2:A331,A331,B$2:B331,"&lt;="&amp;B331))</f>
        <v/>
      </c>
      <c r="G331">
        <f>IF(A331="","",SUMIFS(Transactions!$D:$D,Transactions!$B:$B,A331,Transactions!$C:$C,"Sell"))</f>
        <v/>
      </c>
      <c r="H331">
        <f>IF(A331="","",MAX(0,MIN(C331,G331-SUM(H$2:H330))))</f>
        <v/>
      </c>
      <c r="I331">
        <f>IF(C331="","",C331-H331)</f>
        <v/>
      </c>
      <c r="J331">
        <f>IF(I331="","",I331*D331)</f>
        <v/>
      </c>
    </row>
    <row r="332">
      <c r="A332">
        <f>IFERROR(INDEX(SORT(FILTER(Transactions!$B:$B,(Transactions!$C:$C="Buy")*(Transactions!$B:$B&lt;&gt;"")),1,1),331),"")</f>
        <v/>
      </c>
      <c r="B332">
        <f>IF(A332="","",INDEX(SORT(FILTER(Transactions!$A:$G,(Transactions!$C:$C="Buy")*(Transactions!$B:$B&lt;&gt;"")),2,1),331,1))</f>
        <v/>
      </c>
      <c r="C332">
        <f>IF(A332="","",INDEX(SORT(FILTER(Transactions!$A:$G,(Transactions!$C:$C="Buy")*(Transactions!$B:$B&lt;&gt;"")),2,1),331,4))</f>
        <v/>
      </c>
      <c r="D332">
        <f>IF(A332="","",INDEX(SORT(FILTER(Transactions!$A:$G,(Transactions!$C:$C="Buy")*(Transactions!$B:$B&lt;&gt;"")),2,1),331,5))</f>
        <v/>
      </c>
      <c r="E332">
        <f>IF(C332="","",C332*D332)</f>
        <v/>
      </c>
      <c r="F332">
        <f>IF(A332="","",SUMIFS(C$2:C332,A$2:A332,A332,B$2:B332,"&lt;="&amp;B332))</f>
        <v/>
      </c>
      <c r="G332">
        <f>IF(A332="","",SUMIFS(Transactions!$D:$D,Transactions!$B:$B,A332,Transactions!$C:$C,"Sell"))</f>
        <v/>
      </c>
      <c r="H332">
        <f>IF(A332="","",MAX(0,MIN(C332,G332-SUM(H$2:H331))))</f>
        <v/>
      </c>
      <c r="I332">
        <f>IF(C332="","",C332-H332)</f>
        <v/>
      </c>
      <c r="J332">
        <f>IF(I332="","",I332*D332)</f>
        <v/>
      </c>
    </row>
    <row r="333">
      <c r="A333">
        <f>IFERROR(INDEX(SORT(FILTER(Transactions!$B:$B,(Transactions!$C:$C="Buy")*(Transactions!$B:$B&lt;&gt;"")),1,1),332),"")</f>
        <v/>
      </c>
      <c r="B333">
        <f>IF(A333="","",INDEX(SORT(FILTER(Transactions!$A:$G,(Transactions!$C:$C="Buy")*(Transactions!$B:$B&lt;&gt;"")),2,1),332,1))</f>
        <v/>
      </c>
      <c r="C333">
        <f>IF(A333="","",INDEX(SORT(FILTER(Transactions!$A:$G,(Transactions!$C:$C="Buy")*(Transactions!$B:$B&lt;&gt;"")),2,1),332,4))</f>
        <v/>
      </c>
      <c r="D333">
        <f>IF(A333="","",INDEX(SORT(FILTER(Transactions!$A:$G,(Transactions!$C:$C="Buy")*(Transactions!$B:$B&lt;&gt;"")),2,1),332,5))</f>
        <v/>
      </c>
      <c r="E333">
        <f>IF(C333="","",C333*D333)</f>
        <v/>
      </c>
      <c r="F333">
        <f>IF(A333="","",SUMIFS(C$2:C333,A$2:A333,A333,B$2:B333,"&lt;="&amp;B333))</f>
        <v/>
      </c>
      <c r="G333">
        <f>IF(A333="","",SUMIFS(Transactions!$D:$D,Transactions!$B:$B,A333,Transactions!$C:$C,"Sell"))</f>
        <v/>
      </c>
      <c r="H333">
        <f>IF(A333="","",MAX(0,MIN(C333,G333-SUM(H$2:H332))))</f>
        <v/>
      </c>
      <c r="I333">
        <f>IF(C333="","",C333-H333)</f>
        <v/>
      </c>
      <c r="J333">
        <f>IF(I333="","",I333*D333)</f>
        <v/>
      </c>
    </row>
    <row r="334">
      <c r="A334">
        <f>IFERROR(INDEX(SORT(FILTER(Transactions!$B:$B,(Transactions!$C:$C="Buy")*(Transactions!$B:$B&lt;&gt;"")),1,1),333),"")</f>
        <v/>
      </c>
      <c r="B334">
        <f>IF(A334="","",INDEX(SORT(FILTER(Transactions!$A:$G,(Transactions!$C:$C="Buy")*(Transactions!$B:$B&lt;&gt;"")),2,1),333,1))</f>
        <v/>
      </c>
      <c r="C334">
        <f>IF(A334="","",INDEX(SORT(FILTER(Transactions!$A:$G,(Transactions!$C:$C="Buy")*(Transactions!$B:$B&lt;&gt;"")),2,1),333,4))</f>
        <v/>
      </c>
      <c r="D334">
        <f>IF(A334="","",INDEX(SORT(FILTER(Transactions!$A:$G,(Transactions!$C:$C="Buy")*(Transactions!$B:$B&lt;&gt;"")),2,1),333,5))</f>
        <v/>
      </c>
      <c r="E334">
        <f>IF(C334="","",C334*D334)</f>
        <v/>
      </c>
      <c r="F334">
        <f>IF(A334="","",SUMIFS(C$2:C334,A$2:A334,A334,B$2:B334,"&lt;="&amp;B334))</f>
        <v/>
      </c>
      <c r="G334">
        <f>IF(A334="","",SUMIFS(Transactions!$D:$D,Transactions!$B:$B,A334,Transactions!$C:$C,"Sell"))</f>
        <v/>
      </c>
      <c r="H334">
        <f>IF(A334="","",MAX(0,MIN(C334,G334-SUM(H$2:H333))))</f>
        <v/>
      </c>
      <c r="I334">
        <f>IF(C334="","",C334-H334)</f>
        <v/>
      </c>
      <c r="J334">
        <f>IF(I334="","",I334*D334)</f>
        <v/>
      </c>
    </row>
    <row r="335">
      <c r="A335">
        <f>IFERROR(INDEX(SORT(FILTER(Transactions!$B:$B,(Transactions!$C:$C="Buy")*(Transactions!$B:$B&lt;&gt;"")),1,1),334),"")</f>
        <v/>
      </c>
      <c r="B335">
        <f>IF(A335="","",INDEX(SORT(FILTER(Transactions!$A:$G,(Transactions!$C:$C="Buy")*(Transactions!$B:$B&lt;&gt;"")),2,1),334,1))</f>
        <v/>
      </c>
      <c r="C335">
        <f>IF(A335="","",INDEX(SORT(FILTER(Transactions!$A:$G,(Transactions!$C:$C="Buy")*(Transactions!$B:$B&lt;&gt;"")),2,1),334,4))</f>
        <v/>
      </c>
      <c r="D335">
        <f>IF(A335="","",INDEX(SORT(FILTER(Transactions!$A:$G,(Transactions!$C:$C="Buy")*(Transactions!$B:$B&lt;&gt;"")),2,1),334,5))</f>
        <v/>
      </c>
      <c r="E335">
        <f>IF(C335="","",C335*D335)</f>
        <v/>
      </c>
      <c r="F335">
        <f>IF(A335="","",SUMIFS(C$2:C335,A$2:A335,A335,B$2:B335,"&lt;="&amp;B335))</f>
        <v/>
      </c>
      <c r="G335">
        <f>IF(A335="","",SUMIFS(Transactions!$D:$D,Transactions!$B:$B,A335,Transactions!$C:$C,"Sell"))</f>
        <v/>
      </c>
      <c r="H335">
        <f>IF(A335="","",MAX(0,MIN(C335,G335-SUM(H$2:H334))))</f>
        <v/>
      </c>
      <c r="I335">
        <f>IF(C335="","",C335-H335)</f>
        <v/>
      </c>
      <c r="J335">
        <f>IF(I335="","",I335*D335)</f>
        <v/>
      </c>
    </row>
    <row r="336">
      <c r="A336">
        <f>IFERROR(INDEX(SORT(FILTER(Transactions!$B:$B,(Transactions!$C:$C="Buy")*(Transactions!$B:$B&lt;&gt;"")),1,1),335),"")</f>
        <v/>
      </c>
      <c r="B336">
        <f>IF(A336="","",INDEX(SORT(FILTER(Transactions!$A:$G,(Transactions!$C:$C="Buy")*(Transactions!$B:$B&lt;&gt;"")),2,1),335,1))</f>
        <v/>
      </c>
      <c r="C336">
        <f>IF(A336="","",INDEX(SORT(FILTER(Transactions!$A:$G,(Transactions!$C:$C="Buy")*(Transactions!$B:$B&lt;&gt;"")),2,1),335,4))</f>
        <v/>
      </c>
      <c r="D336">
        <f>IF(A336="","",INDEX(SORT(FILTER(Transactions!$A:$G,(Transactions!$C:$C="Buy")*(Transactions!$B:$B&lt;&gt;"")),2,1),335,5))</f>
        <v/>
      </c>
      <c r="E336">
        <f>IF(C336="","",C336*D336)</f>
        <v/>
      </c>
      <c r="F336">
        <f>IF(A336="","",SUMIFS(C$2:C336,A$2:A336,A336,B$2:B336,"&lt;="&amp;B336))</f>
        <v/>
      </c>
      <c r="G336">
        <f>IF(A336="","",SUMIFS(Transactions!$D:$D,Transactions!$B:$B,A336,Transactions!$C:$C,"Sell"))</f>
        <v/>
      </c>
      <c r="H336">
        <f>IF(A336="","",MAX(0,MIN(C336,G336-SUM(H$2:H335))))</f>
        <v/>
      </c>
      <c r="I336">
        <f>IF(C336="","",C336-H336)</f>
        <v/>
      </c>
      <c r="J336">
        <f>IF(I336="","",I336*D336)</f>
        <v/>
      </c>
    </row>
    <row r="337">
      <c r="A337">
        <f>IFERROR(INDEX(SORT(FILTER(Transactions!$B:$B,(Transactions!$C:$C="Buy")*(Transactions!$B:$B&lt;&gt;"")),1,1),336),"")</f>
        <v/>
      </c>
      <c r="B337">
        <f>IF(A337="","",INDEX(SORT(FILTER(Transactions!$A:$G,(Transactions!$C:$C="Buy")*(Transactions!$B:$B&lt;&gt;"")),2,1),336,1))</f>
        <v/>
      </c>
      <c r="C337">
        <f>IF(A337="","",INDEX(SORT(FILTER(Transactions!$A:$G,(Transactions!$C:$C="Buy")*(Transactions!$B:$B&lt;&gt;"")),2,1),336,4))</f>
        <v/>
      </c>
      <c r="D337">
        <f>IF(A337="","",INDEX(SORT(FILTER(Transactions!$A:$G,(Transactions!$C:$C="Buy")*(Transactions!$B:$B&lt;&gt;"")),2,1),336,5))</f>
        <v/>
      </c>
      <c r="E337">
        <f>IF(C337="","",C337*D337)</f>
        <v/>
      </c>
      <c r="F337">
        <f>IF(A337="","",SUMIFS(C$2:C337,A$2:A337,A337,B$2:B337,"&lt;="&amp;B337))</f>
        <v/>
      </c>
      <c r="G337">
        <f>IF(A337="","",SUMIFS(Transactions!$D:$D,Transactions!$B:$B,A337,Transactions!$C:$C,"Sell"))</f>
        <v/>
      </c>
      <c r="H337">
        <f>IF(A337="","",MAX(0,MIN(C337,G337-SUM(H$2:H336))))</f>
        <v/>
      </c>
      <c r="I337">
        <f>IF(C337="","",C337-H337)</f>
        <v/>
      </c>
      <c r="J337">
        <f>IF(I337="","",I337*D337)</f>
        <v/>
      </c>
    </row>
    <row r="338">
      <c r="A338">
        <f>IFERROR(INDEX(SORT(FILTER(Transactions!$B:$B,(Transactions!$C:$C="Buy")*(Transactions!$B:$B&lt;&gt;"")),1,1),337),"")</f>
        <v/>
      </c>
      <c r="B338">
        <f>IF(A338="","",INDEX(SORT(FILTER(Transactions!$A:$G,(Transactions!$C:$C="Buy")*(Transactions!$B:$B&lt;&gt;"")),2,1),337,1))</f>
        <v/>
      </c>
      <c r="C338">
        <f>IF(A338="","",INDEX(SORT(FILTER(Transactions!$A:$G,(Transactions!$C:$C="Buy")*(Transactions!$B:$B&lt;&gt;"")),2,1),337,4))</f>
        <v/>
      </c>
      <c r="D338">
        <f>IF(A338="","",INDEX(SORT(FILTER(Transactions!$A:$G,(Transactions!$C:$C="Buy")*(Transactions!$B:$B&lt;&gt;"")),2,1),337,5))</f>
        <v/>
      </c>
      <c r="E338">
        <f>IF(C338="","",C338*D338)</f>
        <v/>
      </c>
      <c r="F338">
        <f>IF(A338="","",SUMIFS(C$2:C338,A$2:A338,A338,B$2:B338,"&lt;="&amp;B338))</f>
        <v/>
      </c>
      <c r="G338">
        <f>IF(A338="","",SUMIFS(Transactions!$D:$D,Transactions!$B:$B,A338,Transactions!$C:$C,"Sell"))</f>
        <v/>
      </c>
      <c r="H338">
        <f>IF(A338="","",MAX(0,MIN(C338,G338-SUM(H$2:H337))))</f>
        <v/>
      </c>
      <c r="I338">
        <f>IF(C338="","",C338-H338)</f>
        <v/>
      </c>
      <c r="J338">
        <f>IF(I338="","",I338*D338)</f>
        <v/>
      </c>
    </row>
    <row r="339">
      <c r="A339">
        <f>IFERROR(INDEX(SORT(FILTER(Transactions!$B:$B,(Transactions!$C:$C="Buy")*(Transactions!$B:$B&lt;&gt;"")),1,1),338),"")</f>
        <v/>
      </c>
      <c r="B339">
        <f>IF(A339="","",INDEX(SORT(FILTER(Transactions!$A:$G,(Transactions!$C:$C="Buy")*(Transactions!$B:$B&lt;&gt;"")),2,1),338,1))</f>
        <v/>
      </c>
      <c r="C339">
        <f>IF(A339="","",INDEX(SORT(FILTER(Transactions!$A:$G,(Transactions!$C:$C="Buy")*(Transactions!$B:$B&lt;&gt;"")),2,1),338,4))</f>
        <v/>
      </c>
      <c r="D339">
        <f>IF(A339="","",INDEX(SORT(FILTER(Transactions!$A:$G,(Transactions!$C:$C="Buy")*(Transactions!$B:$B&lt;&gt;"")),2,1),338,5))</f>
        <v/>
      </c>
      <c r="E339">
        <f>IF(C339="","",C339*D339)</f>
        <v/>
      </c>
      <c r="F339">
        <f>IF(A339="","",SUMIFS(C$2:C339,A$2:A339,A339,B$2:B339,"&lt;="&amp;B339))</f>
        <v/>
      </c>
      <c r="G339">
        <f>IF(A339="","",SUMIFS(Transactions!$D:$D,Transactions!$B:$B,A339,Transactions!$C:$C,"Sell"))</f>
        <v/>
      </c>
      <c r="H339">
        <f>IF(A339="","",MAX(0,MIN(C339,G339-SUM(H$2:H338))))</f>
        <v/>
      </c>
      <c r="I339">
        <f>IF(C339="","",C339-H339)</f>
        <v/>
      </c>
      <c r="J339">
        <f>IF(I339="","",I339*D339)</f>
        <v/>
      </c>
    </row>
    <row r="340">
      <c r="A340">
        <f>IFERROR(INDEX(SORT(FILTER(Transactions!$B:$B,(Transactions!$C:$C="Buy")*(Transactions!$B:$B&lt;&gt;"")),1,1),339),"")</f>
        <v/>
      </c>
      <c r="B340">
        <f>IF(A340="","",INDEX(SORT(FILTER(Transactions!$A:$G,(Transactions!$C:$C="Buy")*(Transactions!$B:$B&lt;&gt;"")),2,1),339,1))</f>
        <v/>
      </c>
      <c r="C340">
        <f>IF(A340="","",INDEX(SORT(FILTER(Transactions!$A:$G,(Transactions!$C:$C="Buy")*(Transactions!$B:$B&lt;&gt;"")),2,1),339,4))</f>
        <v/>
      </c>
      <c r="D340">
        <f>IF(A340="","",INDEX(SORT(FILTER(Transactions!$A:$G,(Transactions!$C:$C="Buy")*(Transactions!$B:$B&lt;&gt;"")),2,1),339,5))</f>
        <v/>
      </c>
      <c r="E340">
        <f>IF(C340="","",C340*D340)</f>
        <v/>
      </c>
      <c r="F340">
        <f>IF(A340="","",SUMIFS(C$2:C340,A$2:A340,A340,B$2:B340,"&lt;="&amp;B340))</f>
        <v/>
      </c>
      <c r="G340">
        <f>IF(A340="","",SUMIFS(Transactions!$D:$D,Transactions!$B:$B,A340,Transactions!$C:$C,"Sell"))</f>
        <v/>
      </c>
      <c r="H340">
        <f>IF(A340="","",MAX(0,MIN(C340,G340-SUM(H$2:H339))))</f>
        <v/>
      </c>
      <c r="I340">
        <f>IF(C340="","",C340-H340)</f>
        <v/>
      </c>
      <c r="J340">
        <f>IF(I340="","",I340*D340)</f>
        <v/>
      </c>
    </row>
    <row r="341">
      <c r="A341">
        <f>IFERROR(INDEX(SORT(FILTER(Transactions!$B:$B,(Transactions!$C:$C="Buy")*(Transactions!$B:$B&lt;&gt;"")),1,1),340),"")</f>
        <v/>
      </c>
      <c r="B341">
        <f>IF(A341="","",INDEX(SORT(FILTER(Transactions!$A:$G,(Transactions!$C:$C="Buy")*(Transactions!$B:$B&lt;&gt;"")),2,1),340,1))</f>
        <v/>
      </c>
      <c r="C341">
        <f>IF(A341="","",INDEX(SORT(FILTER(Transactions!$A:$G,(Transactions!$C:$C="Buy")*(Transactions!$B:$B&lt;&gt;"")),2,1),340,4))</f>
        <v/>
      </c>
      <c r="D341">
        <f>IF(A341="","",INDEX(SORT(FILTER(Transactions!$A:$G,(Transactions!$C:$C="Buy")*(Transactions!$B:$B&lt;&gt;"")),2,1),340,5))</f>
        <v/>
      </c>
      <c r="E341">
        <f>IF(C341="","",C341*D341)</f>
        <v/>
      </c>
      <c r="F341">
        <f>IF(A341="","",SUMIFS(C$2:C341,A$2:A341,A341,B$2:B341,"&lt;="&amp;B341))</f>
        <v/>
      </c>
      <c r="G341">
        <f>IF(A341="","",SUMIFS(Transactions!$D:$D,Transactions!$B:$B,A341,Transactions!$C:$C,"Sell"))</f>
        <v/>
      </c>
      <c r="H341">
        <f>IF(A341="","",MAX(0,MIN(C341,G341-SUM(H$2:H340))))</f>
        <v/>
      </c>
      <c r="I341">
        <f>IF(C341="","",C341-H341)</f>
        <v/>
      </c>
      <c r="J341">
        <f>IF(I341="","",I341*D341)</f>
        <v/>
      </c>
    </row>
    <row r="342">
      <c r="A342">
        <f>IFERROR(INDEX(SORT(FILTER(Transactions!$B:$B,(Transactions!$C:$C="Buy")*(Transactions!$B:$B&lt;&gt;"")),1,1),341),"")</f>
        <v/>
      </c>
      <c r="B342">
        <f>IF(A342="","",INDEX(SORT(FILTER(Transactions!$A:$G,(Transactions!$C:$C="Buy")*(Transactions!$B:$B&lt;&gt;"")),2,1),341,1))</f>
        <v/>
      </c>
      <c r="C342">
        <f>IF(A342="","",INDEX(SORT(FILTER(Transactions!$A:$G,(Transactions!$C:$C="Buy")*(Transactions!$B:$B&lt;&gt;"")),2,1),341,4))</f>
        <v/>
      </c>
      <c r="D342">
        <f>IF(A342="","",INDEX(SORT(FILTER(Transactions!$A:$G,(Transactions!$C:$C="Buy")*(Transactions!$B:$B&lt;&gt;"")),2,1),341,5))</f>
        <v/>
      </c>
      <c r="E342">
        <f>IF(C342="","",C342*D342)</f>
        <v/>
      </c>
      <c r="F342">
        <f>IF(A342="","",SUMIFS(C$2:C342,A$2:A342,A342,B$2:B342,"&lt;="&amp;B342))</f>
        <v/>
      </c>
      <c r="G342">
        <f>IF(A342="","",SUMIFS(Transactions!$D:$D,Transactions!$B:$B,A342,Transactions!$C:$C,"Sell"))</f>
        <v/>
      </c>
      <c r="H342">
        <f>IF(A342="","",MAX(0,MIN(C342,G342-SUM(H$2:H341))))</f>
        <v/>
      </c>
      <c r="I342">
        <f>IF(C342="","",C342-H342)</f>
        <v/>
      </c>
      <c r="J342">
        <f>IF(I342="","",I342*D342)</f>
        <v/>
      </c>
    </row>
    <row r="343">
      <c r="A343">
        <f>IFERROR(INDEX(SORT(FILTER(Transactions!$B:$B,(Transactions!$C:$C="Buy")*(Transactions!$B:$B&lt;&gt;"")),1,1),342),"")</f>
        <v/>
      </c>
      <c r="B343">
        <f>IF(A343="","",INDEX(SORT(FILTER(Transactions!$A:$G,(Transactions!$C:$C="Buy")*(Transactions!$B:$B&lt;&gt;"")),2,1),342,1))</f>
        <v/>
      </c>
      <c r="C343">
        <f>IF(A343="","",INDEX(SORT(FILTER(Transactions!$A:$G,(Transactions!$C:$C="Buy")*(Transactions!$B:$B&lt;&gt;"")),2,1),342,4))</f>
        <v/>
      </c>
      <c r="D343">
        <f>IF(A343="","",INDEX(SORT(FILTER(Transactions!$A:$G,(Transactions!$C:$C="Buy")*(Transactions!$B:$B&lt;&gt;"")),2,1),342,5))</f>
        <v/>
      </c>
      <c r="E343">
        <f>IF(C343="","",C343*D343)</f>
        <v/>
      </c>
      <c r="F343">
        <f>IF(A343="","",SUMIFS(C$2:C343,A$2:A343,A343,B$2:B343,"&lt;="&amp;B343))</f>
        <v/>
      </c>
      <c r="G343">
        <f>IF(A343="","",SUMIFS(Transactions!$D:$D,Transactions!$B:$B,A343,Transactions!$C:$C,"Sell"))</f>
        <v/>
      </c>
      <c r="H343">
        <f>IF(A343="","",MAX(0,MIN(C343,G343-SUM(H$2:H342))))</f>
        <v/>
      </c>
      <c r="I343">
        <f>IF(C343="","",C343-H343)</f>
        <v/>
      </c>
      <c r="J343">
        <f>IF(I343="","",I343*D343)</f>
        <v/>
      </c>
    </row>
    <row r="344">
      <c r="A344">
        <f>IFERROR(INDEX(SORT(FILTER(Transactions!$B:$B,(Transactions!$C:$C="Buy")*(Transactions!$B:$B&lt;&gt;"")),1,1),343),"")</f>
        <v/>
      </c>
      <c r="B344">
        <f>IF(A344="","",INDEX(SORT(FILTER(Transactions!$A:$G,(Transactions!$C:$C="Buy")*(Transactions!$B:$B&lt;&gt;"")),2,1),343,1))</f>
        <v/>
      </c>
      <c r="C344">
        <f>IF(A344="","",INDEX(SORT(FILTER(Transactions!$A:$G,(Transactions!$C:$C="Buy")*(Transactions!$B:$B&lt;&gt;"")),2,1),343,4))</f>
        <v/>
      </c>
      <c r="D344">
        <f>IF(A344="","",INDEX(SORT(FILTER(Transactions!$A:$G,(Transactions!$C:$C="Buy")*(Transactions!$B:$B&lt;&gt;"")),2,1),343,5))</f>
        <v/>
      </c>
      <c r="E344">
        <f>IF(C344="","",C344*D344)</f>
        <v/>
      </c>
      <c r="F344">
        <f>IF(A344="","",SUMIFS(C$2:C344,A$2:A344,A344,B$2:B344,"&lt;="&amp;B344))</f>
        <v/>
      </c>
      <c r="G344">
        <f>IF(A344="","",SUMIFS(Transactions!$D:$D,Transactions!$B:$B,A344,Transactions!$C:$C,"Sell"))</f>
        <v/>
      </c>
      <c r="H344">
        <f>IF(A344="","",MAX(0,MIN(C344,G344-SUM(H$2:H343))))</f>
        <v/>
      </c>
      <c r="I344">
        <f>IF(C344="","",C344-H344)</f>
        <v/>
      </c>
      <c r="J344">
        <f>IF(I344="","",I344*D344)</f>
        <v/>
      </c>
    </row>
    <row r="345">
      <c r="A345">
        <f>IFERROR(INDEX(SORT(FILTER(Transactions!$B:$B,(Transactions!$C:$C="Buy")*(Transactions!$B:$B&lt;&gt;"")),1,1),344),"")</f>
        <v/>
      </c>
      <c r="B345">
        <f>IF(A345="","",INDEX(SORT(FILTER(Transactions!$A:$G,(Transactions!$C:$C="Buy")*(Transactions!$B:$B&lt;&gt;"")),2,1),344,1))</f>
        <v/>
      </c>
      <c r="C345">
        <f>IF(A345="","",INDEX(SORT(FILTER(Transactions!$A:$G,(Transactions!$C:$C="Buy")*(Transactions!$B:$B&lt;&gt;"")),2,1),344,4))</f>
        <v/>
      </c>
      <c r="D345">
        <f>IF(A345="","",INDEX(SORT(FILTER(Transactions!$A:$G,(Transactions!$C:$C="Buy")*(Transactions!$B:$B&lt;&gt;"")),2,1),344,5))</f>
        <v/>
      </c>
      <c r="E345">
        <f>IF(C345="","",C345*D345)</f>
        <v/>
      </c>
      <c r="F345">
        <f>IF(A345="","",SUMIFS(C$2:C345,A$2:A345,A345,B$2:B345,"&lt;="&amp;B345))</f>
        <v/>
      </c>
      <c r="G345">
        <f>IF(A345="","",SUMIFS(Transactions!$D:$D,Transactions!$B:$B,A345,Transactions!$C:$C,"Sell"))</f>
        <v/>
      </c>
      <c r="H345">
        <f>IF(A345="","",MAX(0,MIN(C345,G345-SUM(H$2:H344))))</f>
        <v/>
      </c>
      <c r="I345">
        <f>IF(C345="","",C345-H345)</f>
        <v/>
      </c>
      <c r="J345">
        <f>IF(I345="","",I345*D345)</f>
        <v/>
      </c>
    </row>
    <row r="346">
      <c r="A346">
        <f>IFERROR(INDEX(SORT(FILTER(Transactions!$B:$B,(Transactions!$C:$C="Buy")*(Transactions!$B:$B&lt;&gt;"")),1,1),345),"")</f>
        <v/>
      </c>
      <c r="B346">
        <f>IF(A346="","",INDEX(SORT(FILTER(Transactions!$A:$G,(Transactions!$C:$C="Buy")*(Transactions!$B:$B&lt;&gt;"")),2,1),345,1))</f>
        <v/>
      </c>
      <c r="C346">
        <f>IF(A346="","",INDEX(SORT(FILTER(Transactions!$A:$G,(Transactions!$C:$C="Buy")*(Transactions!$B:$B&lt;&gt;"")),2,1),345,4))</f>
        <v/>
      </c>
      <c r="D346">
        <f>IF(A346="","",INDEX(SORT(FILTER(Transactions!$A:$G,(Transactions!$C:$C="Buy")*(Transactions!$B:$B&lt;&gt;"")),2,1),345,5))</f>
        <v/>
      </c>
      <c r="E346">
        <f>IF(C346="","",C346*D346)</f>
        <v/>
      </c>
      <c r="F346">
        <f>IF(A346="","",SUMIFS(C$2:C346,A$2:A346,A346,B$2:B346,"&lt;="&amp;B346))</f>
        <v/>
      </c>
      <c r="G346">
        <f>IF(A346="","",SUMIFS(Transactions!$D:$D,Transactions!$B:$B,A346,Transactions!$C:$C,"Sell"))</f>
        <v/>
      </c>
      <c r="H346">
        <f>IF(A346="","",MAX(0,MIN(C346,G346-SUM(H$2:H345))))</f>
        <v/>
      </c>
      <c r="I346">
        <f>IF(C346="","",C346-H346)</f>
        <v/>
      </c>
      <c r="J346">
        <f>IF(I346="","",I346*D346)</f>
        <v/>
      </c>
    </row>
    <row r="347">
      <c r="A347">
        <f>IFERROR(INDEX(SORT(FILTER(Transactions!$B:$B,(Transactions!$C:$C="Buy")*(Transactions!$B:$B&lt;&gt;"")),1,1),346),"")</f>
        <v/>
      </c>
      <c r="B347">
        <f>IF(A347="","",INDEX(SORT(FILTER(Transactions!$A:$G,(Transactions!$C:$C="Buy")*(Transactions!$B:$B&lt;&gt;"")),2,1),346,1))</f>
        <v/>
      </c>
      <c r="C347">
        <f>IF(A347="","",INDEX(SORT(FILTER(Transactions!$A:$G,(Transactions!$C:$C="Buy")*(Transactions!$B:$B&lt;&gt;"")),2,1),346,4))</f>
        <v/>
      </c>
      <c r="D347">
        <f>IF(A347="","",INDEX(SORT(FILTER(Transactions!$A:$G,(Transactions!$C:$C="Buy")*(Transactions!$B:$B&lt;&gt;"")),2,1),346,5))</f>
        <v/>
      </c>
      <c r="E347">
        <f>IF(C347="","",C347*D347)</f>
        <v/>
      </c>
      <c r="F347">
        <f>IF(A347="","",SUMIFS(C$2:C347,A$2:A347,A347,B$2:B347,"&lt;="&amp;B347))</f>
        <v/>
      </c>
      <c r="G347">
        <f>IF(A347="","",SUMIFS(Transactions!$D:$D,Transactions!$B:$B,A347,Transactions!$C:$C,"Sell"))</f>
        <v/>
      </c>
      <c r="H347">
        <f>IF(A347="","",MAX(0,MIN(C347,G347-SUM(H$2:H346))))</f>
        <v/>
      </c>
      <c r="I347">
        <f>IF(C347="","",C347-H347)</f>
        <v/>
      </c>
      <c r="J347">
        <f>IF(I347="","",I347*D347)</f>
        <v/>
      </c>
    </row>
    <row r="348">
      <c r="A348">
        <f>IFERROR(INDEX(SORT(FILTER(Transactions!$B:$B,(Transactions!$C:$C="Buy")*(Transactions!$B:$B&lt;&gt;"")),1,1),347),"")</f>
        <v/>
      </c>
      <c r="B348">
        <f>IF(A348="","",INDEX(SORT(FILTER(Transactions!$A:$G,(Transactions!$C:$C="Buy")*(Transactions!$B:$B&lt;&gt;"")),2,1),347,1))</f>
        <v/>
      </c>
      <c r="C348">
        <f>IF(A348="","",INDEX(SORT(FILTER(Transactions!$A:$G,(Transactions!$C:$C="Buy")*(Transactions!$B:$B&lt;&gt;"")),2,1),347,4))</f>
        <v/>
      </c>
      <c r="D348">
        <f>IF(A348="","",INDEX(SORT(FILTER(Transactions!$A:$G,(Transactions!$C:$C="Buy")*(Transactions!$B:$B&lt;&gt;"")),2,1),347,5))</f>
        <v/>
      </c>
      <c r="E348">
        <f>IF(C348="","",C348*D348)</f>
        <v/>
      </c>
      <c r="F348">
        <f>IF(A348="","",SUMIFS(C$2:C348,A$2:A348,A348,B$2:B348,"&lt;="&amp;B348))</f>
        <v/>
      </c>
      <c r="G348">
        <f>IF(A348="","",SUMIFS(Transactions!$D:$D,Transactions!$B:$B,A348,Transactions!$C:$C,"Sell"))</f>
        <v/>
      </c>
      <c r="H348">
        <f>IF(A348="","",MAX(0,MIN(C348,G348-SUM(H$2:H347))))</f>
        <v/>
      </c>
      <c r="I348">
        <f>IF(C348="","",C348-H348)</f>
        <v/>
      </c>
      <c r="J348">
        <f>IF(I348="","",I348*D348)</f>
        <v/>
      </c>
    </row>
    <row r="349">
      <c r="A349">
        <f>IFERROR(INDEX(SORT(FILTER(Transactions!$B:$B,(Transactions!$C:$C="Buy")*(Transactions!$B:$B&lt;&gt;"")),1,1),348),"")</f>
        <v/>
      </c>
      <c r="B349">
        <f>IF(A349="","",INDEX(SORT(FILTER(Transactions!$A:$G,(Transactions!$C:$C="Buy")*(Transactions!$B:$B&lt;&gt;"")),2,1),348,1))</f>
        <v/>
      </c>
      <c r="C349">
        <f>IF(A349="","",INDEX(SORT(FILTER(Transactions!$A:$G,(Transactions!$C:$C="Buy")*(Transactions!$B:$B&lt;&gt;"")),2,1),348,4))</f>
        <v/>
      </c>
      <c r="D349">
        <f>IF(A349="","",INDEX(SORT(FILTER(Transactions!$A:$G,(Transactions!$C:$C="Buy")*(Transactions!$B:$B&lt;&gt;"")),2,1),348,5))</f>
        <v/>
      </c>
      <c r="E349">
        <f>IF(C349="","",C349*D349)</f>
        <v/>
      </c>
      <c r="F349">
        <f>IF(A349="","",SUMIFS(C$2:C349,A$2:A349,A349,B$2:B349,"&lt;="&amp;B349))</f>
        <v/>
      </c>
      <c r="G349">
        <f>IF(A349="","",SUMIFS(Transactions!$D:$D,Transactions!$B:$B,A349,Transactions!$C:$C,"Sell"))</f>
        <v/>
      </c>
      <c r="H349">
        <f>IF(A349="","",MAX(0,MIN(C349,G349-SUM(H$2:H348))))</f>
        <v/>
      </c>
      <c r="I349">
        <f>IF(C349="","",C349-H349)</f>
        <v/>
      </c>
      <c r="J349">
        <f>IF(I349="","",I349*D349)</f>
        <v/>
      </c>
    </row>
    <row r="350">
      <c r="A350">
        <f>IFERROR(INDEX(SORT(FILTER(Transactions!$B:$B,(Transactions!$C:$C="Buy")*(Transactions!$B:$B&lt;&gt;"")),1,1),349),"")</f>
        <v/>
      </c>
      <c r="B350">
        <f>IF(A350="","",INDEX(SORT(FILTER(Transactions!$A:$G,(Transactions!$C:$C="Buy")*(Transactions!$B:$B&lt;&gt;"")),2,1),349,1))</f>
        <v/>
      </c>
      <c r="C350">
        <f>IF(A350="","",INDEX(SORT(FILTER(Transactions!$A:$G,(Transactions!$C:$C="Buy")*(Transactions!$B:$B&lt;&gt;"")),2,1),349,4))</f>
        <v/>
      </c>
      <c r="D350">
        <f>IF(A350="","",INDEX(SORT(FILTER(Transactions!$A:$G,(Transactions!$C:$C="Buy")*(Transactions!$B:$B&lt;&gt;"")),2,1),349,5))</f>
        <v/>
      </c>
      <c r="E350">
        <f>IF(C350="","",C350*D350)</f>
        <v/>
      </c>
      <c r="F350">
        <f>IF(A350="","",SUMIFS(C$2:C350,A$2:A350,A350,B$2:B350,"&lt;="&amp;B350))</f>
        <v/>
      </c>
      <c r="G350">
        <f>IF(A350="","",SUMIFS(Transactions!$D:$D,Transactions!$B:$B,A350,Transactions!$C:$C,"Sell"))</f>
        <v/>
      </c>
      <c r="H350">
        <f>IF(A350="","",MAX(0,MIN(C350,G350-SUM(H$2:H349))))</f>
        <v/>
      </c>
      <c r="I350">
        <f>IF(C350="","",C350-H350)</f>
        <v/>
      </c>
      <c r="J350">
        <f>IF(I350="","",I350*D350)</f>
        <v/>
      </c>
    </row>
    <row r="351">
      <c r="A351">
        <f>IFERROR(INDEX(SORT(FILTER(Transactions!$B:$B,(Transactions!$C:$C="Buy")*(Transactions!$B:$B&lt;&gt;"")),1,1),350),"")</f>
        <v/>
      </c>
      <c r="B351">
        <f>IF(A351="","",INDEX(SORT(FILTER(Transactions!$A:$G,(Transactions!$C:$C="Buy")*(Transactions!$B:$B&lt;&gt;"")),2,1),350,1))</f>
        <v/>
      </c>
      <c r="C351">
        <f>IF(A351="","",INDEX(SORT(FILTER(Transactions!$A:$G,(Transactions!$C:$C="Buy")*(Transactions!$B:$B&lt;&gt;"")),2,1),350,4))</f>
        <v/>
      </c>
      <c r="D351">
        <f>IF(A351="","",INDEX(SORT(FILTER(Transactions!$A:$G,(Transactions!$C:$C="Buy")*(Transactions!$B:$B&lt;&gt;"")),2,1),350,5))</f>
        <v/>
      </c>
      <c r="E351">
        <f>IF(C351="","",C351*D351)</f>
        <v/>
      </c>
      <c r="F351">
        <f>IF(A351="","",SUMIFS(C$2:C351,A$2:A351,A351,B$2:B351,"&lt;="&amp;B351))</f>
        <v/>
      </c>
      <c r="G351">
        <f>IF(A351="","",SUMIFS(Transactions!$D:$D,Transactions!$B:$B,A351,Transactions!$C:$C,"Sell"))</f>
        <v/>
      </c>
      <c r="H351">
        <f>IF(A351="","",MAX(0,MIN(C351,G351-SUM(H$2:H350))))</f>
        <v/>
      </c>
      <c r="I351">
        <f>IF(C351="","",C351-H351)</f>
        <v/>
      </c>
      <c r="J351">
        <f>IF(I351="","",I351*D351)</f>
        <v/>
      </c>
    </row>
    <row r="352">
      <c r="A352">
        <f>IFERROR(INDEX(SORT(FILTER(Transactions!$B:$B,(Transactions!$C:$C="Buy")*(Transactions!$B:$B&lt;&gt;"")),1,1),351),"")</f>
        <v/>
      </c>
      <c r="B352">
        <f>IF(A352="","",INDEX(SORT(FILTER(Transactions!$A:$G,(Transactions!$C:$C="Buy")*(Transactions!$B:$B&lt;&gt;"")),2,1),351,1))</f>
        <v/>
      </c>
      <c r="C352">
        <f>IF(A352="","",INDEX(SORT(FILTER(Transactions!$A:$G,(Transactions!$C:$C="Buy")*(Transactions!$B:$B&lt;&gt;"")),2,1),351,4))</f>
        <v/>
      </c>
      <c r="D352">
        <f>IF(A352="","",INDEX(SORT(FILTER(Transactions!$A:$G,(Transactions!$C:$C="Buy")*(Transactions!$B:$B&lt;&gt;"")),2,1),351,5))</f>
        <v/>
      </c>
      <c r="E352">
        <f>IF(C352="","",C352*D352)</f>
        <v/>
      </c>
      <c r="F352">
        <f>IF(A352="","",SUMIFS(C$2:C352,A$2:A352,A352,B$2:B352,"&lt;="&amp;B352))</f>
        <v/>
      </c>
      <c r="G352">
        <f>IF(A352="","",SUMIFS(Transactions!$D:$D,Transactions!$B:$B,A352,Transactions!$C:$C,"Sell"))</f>
        <v/>
      </c>
      <c r="H352">
        <f>IF(A352="","",MAX(0,MIN(C352,G352-SUM(H$2:H351))))</f>
        <v/>
      </c>
      <c r="I352">
        <f>IF(C352="","",C352-H352)</f>
        <v/>
      </c>
      <c r="J352">
        <f>IF(I352="","",I352*D352)</f>
        <v/>
      </c>
    </row>
    <row r="353">
      <c r="A353">
        <f>IFERROR(INDEX(SORT(FILTER(Transactions!$B:$B,(Transactions!$C:$C="Buy")*(Transactions!$B:$B&lt;&gt;"")),1,1),352),"")</f>
        <v/>
      </c>
      <c r="B353">
        <f>IF(A353="","",INDEX(SORT(FILTER(Transactions!$A:$G,(Transactions!$C:$C="Buy")*(Transactions!$B:$B&lt;&gt;"")),2,1),352,1))</f>
        <v/>
      </c>
      <c r="C353">
        <f>IF(A353="","",INDEX(SORT(FILTER(Transactions!$A:$G,(Transactions!$C:$C="Buy")*(Transactions!$B:$B&lt;&gt;"")),2,1),352,4))</f>
        <v/>
      </c>
      <c r="D353">
        <f>IF(A353="","",INDEX(SORT(FILTER(Transactions!$A:$G,(Transactions!$C:$C="Buy")*(Transactions!$B:$B&lt;&gt;"")),2,1),352,5))</f>
        <v/>
      </c>
      <c r="E353">
        <f>IF(C353="","",C353*D353)</f>
        <v/>
      </c>
      <c r="F353">
        <f>IF(A353="","",SUMIFS(C$2:C353,A$2:A353,A353,B$2:B353,"&lt;="&amp;B353))</f>
        <v/>
      </c>
      <c r="G353">
        <f>IF(A353="","",SUMIFS(Transactions!$D:$D,Transactions!$B:$B,A353,Transactions!$C:$C,"Sell"))</f>
        <v/>
      </c>
      <c r="H353">
        <f>IF(A353="","",MAX(0,MIN(C353,G353-SUM(H$2:H352))))</f>
        <v/>
      </c>
      <c r="I353">
        <f>IF(C353="","",C353-H353)</f>
        <v/>
      </c>
      <c r="J353">
        <f>IF(I353="","",I353*D353)</f>
        <v/>
      </c>
    </row>
    <row r="354">
      <c r="A354">
        <f>IFERROR(INDEX(SORT(FILTER(Transactions!$B:$B,(Transactions!$C:$C="Buy")*(Transactions!$B:$B&lt;&gt;"")),1,1),353),"")</f>
        <v/>
      </c>
      <c r="B354">
        <f>IF(A354="","",INDEX(SORT(FILTER(Transactions!$A:$G,(Transactions!$C:$C="Buy")*(Transactions!$B:$B&lt;&gt;"")),2,1),353,1))</f>
        <v/>
      </c>
      <c r="C354">
        <f>IF(A354="","",INDEX(SORT(FILTER(Transactions!$A:$G,(Transactions!$C:$C="Buy")*(Transactions!$B:$B&lt;&gt;"")),2,1),353,4))</f>
        <v/>
      </c>
      <c r="D354">
        <f>IF(A354="","",INDEX(SORT(FILTER(Transactions!$A:$G,(Transactions!$C:$C="Buy")*(Transactions!$B:$B&lt;&gt;"")),2,1),353,5))</f>
        <v/>
      </c>
      <c r="E354">
        <f>IF(C354="","",C354*D354)</f>
        <v/>
      </c>
      <c r="F354">
        <f>IF(A354="","",SUMIFS(C$2:C354,A$2:A354,A354,B$2:B354,"&lt;="&amp;B354))</f>
        <v/>
      </c>
      <c r="G354">
        <f>IF(A354="","",SUMIFS(Transactions!$D:$D,Transactions!$B:$B,A354,Transactions!$C:$C,"Sell"))</f>
        <v/>
      </c>
      <c r="H354">
        <f>IF(A354="","",MAX(0,MIN(C354,G354-SUM(H$2:H353))))</f>
        <v/>
      </c>
      <c r="I354">
        <f>IF(C354="","",C354-H354)</f>
        <v/>
      </c>
      <c r="J354">
        <f>IF(I354="","",I354*D354)</f>
        <v/>
      </c>
    </row>
    <row r="355">
      <c r="A355">
        <f>IFERROR(INDEX(SORT(FILTER(Transactions!$B:$B,(Transactions!$C:$C="Buy")*(Transactions!$B:$B&lt;&gt;"")),1,1),354),"")</f>
        <v/>
      </c>
      <c r="B355">
        <f>IF(A355="","",INDEX(SORT(FILTER(Transactions!$A:$G,(Transactions!$C:$C="Buy")*(Transactions!$B:$B&lt;&gt;"")),2,1),354,1))</f>
        <v/>
      </c>
      <c r="C355">
        <f>IF(A355="","",INDEX(SORT(FILTER(Transactions!$A:$G,(Transactions!$C:$C="Buy")*(Transactions!$B:$B&lt;&gt;"")),2,1),354,4))</f>
        <v/>
      </c>
      <c r="D355">
        <f>IF(A355="","",INDEX(SORT(FILTER(Transactions!$A:$G,(Transactions!$C:$C="Buy")*(Transactions!$B:$B&lt;&gt;"")),2,1),354,5))</f>
        <v/>
      </c>
      <c r="E355">
        <f>IF(C355="","",C355*D355)</f>
        <v/>
      </c>
      <c r="F355">
        <f>IF(A355="","",SUMIFS(C$2:C355,A$2:A355,A355,B$2:B355,"&lt;="&amp;B355))</f>
        <v/>
      </c>
      <c r="G355">
        <f>IF(A355="","",SUMIFS(Transactions!$D:$D,Transactions!$B:$B,A355,Transactions!$C:$C,"Sell"))</f>
        <v/>
      </c>
      <c r="H355">
        <f>IF(A355="","",MAX(0,MIN(C355,G355-SUM(H$2:H354))))</f>
        <v/>
      </c>
      <c r="I355">
        <f>IF(C355="","",C355-H355)</f>
        <v/>
      </c>
      <c r="J355">
        <f>IF(I355="","",I355*D355)</f>
        <v/>
      </c>
    </row>
    <row r="356">
      <c r="A356">
        <f>IFERROR(INDEX(SORT(FILTER(Transactions!$B:$B,(Transactions!$C:$C="Buy")*(Transactions!$B:$B&lt;&gt;"")),1,1),355),"")</f>
        <v/>
      </c>
      <c r="B356">
        <f>IF(A356="","",INDEX(SORT(FILTER(Transactions!$A:$G,(Transactions!$C:$C="Buy")*(Transactions!$B:$B&lt;&gt;"")),2,1),355,1))</f>
        <v/>
      </c>
      <c r="C356">
        <f>IF(A356="","",INDEX(SORT(FILTER(Transactions!$A:$G,(Transactions!$C:$C="Buy")*(Transactions!$B:$B&lt;&gt;"")),2,1),355,4))</f>
        <v/>
      </c>
      <c r="D356">
        <f>IF(A356="","",INDEX(SORT(FILTER(Transactions!$A:$G,(Transactions!$C:$C="Buy")*(Transactions!$B:$B&lt;&gt;"")),2,1),355,5))</f>
        <v/>
      </c>
      <c r="E356">
        <f>IF(C356="","",C356*D356)</f>
        <v/>
      </c>
      <c r="F356">
        <f>IF(A356="","",SUMIFS(C$2:C356,A$2:A356,A356,B$2:B356,"&lt;="&amp;B356))</f>
        <v/>
      </c>
      <c r="G356">
        <f>IF(A356="","",SUMIFS(Transactions!$D:$D,Transactions!$B:$B,A356,Transactions!$C:$C,"Sell"))</f>
        <v/>
      </c>
      <c r="H356">
        <f>IF(A356="","",MAX(0,MIN(C356,G356-SUM(H$2:H355))))</f>
        <v/>
      </c>
      <c r="I356">
        <f>IF(C356="","",C356-H356)</f>
        <v/>
      </c>
      <c r="J356">
        <f>IF(I356="","",I356*D356)</f>
        <v/>
      </c>
    </row>
    <row r="357">
      <c r="A357">
        <f>IFERROR(INDEX(SORT(FILTER(Transactions!$B:$B,(Transactions!$C:$C="Buy")*(Transactions!$B:$B&lt;&gt;"")),1,1),356),"")</f>
        <v/>
      </c>
      <c r="B357">
        <f>IF(A357="","",INDEX(SORT(FILTER(Transactions!$A:$G,(Transactions!$C:$C="Buy")*(Transactions!$B:$B&lt;&gt;"")),2,1),356,1))</f>
        <v/>
      </c>
      <c r="C357">
        <f>IF(A357="","",INDEX(SORT(FILTER(Transactions!$A:$G,(Transactions!$C:$C="Buy")*(Transactions!$B:$B&lt;&gt;"")),2,1),356,4))</f>
        <v/>
      </c>
      <c r="D357">
        <f>IF(A357="","",INDEX(SORT(FILTER(Transactions!$A:$G,(Transactions!$C:$C="Buy")*(Transactions!$B:$B&lt;&gt;"")),2,1),356,5))</f>
        <v/>
      </c>
      <c r="E357">
        <f>IF(C357="","",C357*D357)</f>
        <v/>
      </c>
      <c r="F357">
        <f>IF(A357="","",SUMIFS(C$2:C357,A$2:A357,A357,B$2:B357,"&lt;="&amp;B357))</f>
        <v/>
      </c>
      <c r="G357">
        <f>IF(A357="","",SUMIFS(Transactions!$D:$D,Transactions!$B:$B,A357,Transactions!$C:$C,"Sell"))</f>
        <v/>
      </c>
      <c r="H357">
        <f>IF(A357="","",MAX(0,MIN(C357,G357-SUM(H$2:H356))))</f>
        <v/>
      </c>
      <c r="I357">
        <f>IF(C357="","",C357-H357)</f>
        <v/>
      </c>
      <c r="J357">
        <f>IF(I357="","",I357*D357)</f>
        <v/>
      </c>
    </row>
    <row r="358">
      <c r="A358">
        <f>IFERROR(INDEX(SORT(FILTER(Transactions!$B:$B,(Transactions!$C:$C="Buy")*(Transactions!$B:$B&lt;&gt;"")),1,1),357),"")</f>
        <v/>
      </c>
      <c r="B358">
        <f>IF(A358="","",INDEX(SORT(FILTER(Transactions!$A:$G,(Transactions!$C:$C="Buy")*(Transactions!$B:$B&lt;&gt;"")),2,1),357,1))</f>
        <v/>
      </c>
      <c r="C358">
        <f>IF(A358="","",INDEX(SORT(FILTER(Transactions!$A:$G,(Transactions!$C:$C="Buy")*(Transactions!$B:$B&lt;&gt;"")),2,1),357,4))</f>
        <v/>
      </c>
      <c r="D358">
        <f>IF(A358="","",INDEX(SORT(FILTER(Transactions!$A:$G,(Transactions!$C:$C="Buy")*(Transactions!$B:$B&lt;&gt;"")),2,1),357,5))</f>
        <v/>
      </c>
      <c r="E358">
        <f>IF(C358="","",C358*D358)</f>
        <v/>
      </c>
      <c r="F358">
        <f>IF(A358="","",SUMIFS(C$2:C358,A$2:A358,A358,B$2:B358,"&lt;="&amp;B358))</f>
        <v/>
      </c>
      <c r="G358">
        <f>IF(A358="","",SUMIFS(Transactions!$D:$D,Transactions!$B:$B,A358,Transactions!$C:$C,"Sell"))</f>
        <v/>
      </c>
      <c r="H358">
        <f>IF(A358="","",MAX(0,MIN(C358,G358-SUM(H$2:H357))))</f>
        <v/>
      </c>
      <c r="I358">
        <f>IF(C358="","",C358-H358)</f>
        <v/>
      </c>
      <c r="J358">
        <f>IF(I358="","",I358*D358)</f>
        <v/>
      </c>
    </row>
    <row r="359">
      <c r="A359">
        <f>IFERROR(INDEX(SORT(FILTER(Transactions!$B:$B,(Transactions!$C:$C="Buy")*(Transactions!$B:$B&lt;&gt;"")),1,1),358),"")</f>
        <v/>
      </c>
      <c r="B359">
        <f>IF(A359="","",INDEX(SORT(FILTER(Transactions!$A:$G,(Transactions!$C:$C="Buy")*(Transactions!$B:$B&lt;&gt;"")),2,1),358,1))</f>
        <v/>
      </c>
      <c r="C359">
        <f>IF(A359="","",INDEX(SORT(FILTER(Transactions!$A:$G,(Transactions!$C:$C="Buy")*(Transactions!$B:$B&lt;&gt;"")),2,1),358,4))</f>
        <v/>
      </c>
      <c r="D359">
        <f>IF(A359="","",INDEX(SORT(FILTER(Transactions!$A:$G,(Transactions!$C:$C="Buy")*(Transactions!$B:$B&lt;&gt;"")),2,1),358,5))</f>
        <v/>
      </c>
      <c r="E359">
        <f>IF(C359="","",C359*D359)</f>
        <v/>
      </c>
      <c r="F359">
        <f>IF(A359="","",SUMIFS(C$2:C359,A$2:A359,A359,B$2:B359,"&lt;="&amp;B359))</f>
        <v/>
      </c>
      <c r="G359">
        <f>IF(A359="","",SUMIFS(Transactions!$D:$D,Transactions!$B:$B,A359,Transactions!$C:$C,"Sell"))</f>
        <v/>
      </c>
      <c r="H359">
        <f>IF(A359="","",MAX(0,MIN(C359,G359-SUM(H$2:H358))))</f>
        <v/>
      </c>
      <c r="I359">
        <f>IF(C359="","",C359-H359)</f>
        <v/>
      </c>
      <c r="J359">
        <f>IF(I359="","",I359*D359)</f>
        <v/>
      </c>
    </row>
    <row r="360">
      <c r="A360">
        <f>IFERROR(INDEX(SORT(FILTER(Transactions!$B:$B,(Transactions!$C:$C="Buy")*(Transactions!$B:$B&lt;&gt;"")),1,1),359),"")</f>
        <v/>
      </c>
      <c r="B360">
        <f>IF(A360="","",INDEX(SORT(FILTER(Transactions!$A:$G,(Transactions!$C:$C="Buy")*(Transactions!$B:$B&lt;&gt;"")),2,1),359,1))</f>
        <v/>
      </c>
      <c r="C360">
        <f>IF(A360="","",INDEX(SORT(FILTER(Transactions!$A:$G,(Transactions!$C:$C="Buy")*(Transactions!$B:$B&lt;&gt;"")),2,1),359,4))</f>
        <v/>
      </c>
      <c r="D360">
        <f>IF(A360="","",INDEX(SORT(FILTER(Transactions!$A:$G,(Transactions!$C:$C="Buy")*(Transactions!$B:$B&lt;&gt;"")),2,1),359,5))</f>
        <v/>
      </c>
      <c r="E360">
        <f>IF(C360="","",C360*D360)</f>
        <v/>
      </c>
      <c r="F360">
        <f>IF(A360="","",SUMIFS(C$2:C360,A$2:A360,A360,B$2:B360,"&lt;="&amp;B360))</f>
        <v/>
      </c>
      <c r="G360">
        <f>IF(A360="","",SUMIFS(Transactions!$D:$D,Transactions!$B:$B,A360,Transactions!$C:$C,"Sell"))</f>
        <v/>
      </c>
      <c r="H360">
        <f>IF(A360="","",MAX(0,MIN(C360,G360-SUM(H$2:H359))))</f>
        <v/>
      </c>
      <c r="I360">
        <f>IF(C360="","",C360-H360)</f>
        <v/>
      </c>
      <c r="J360">
        <f>IF(I360="","",I360*D360)</f>
        <v/>
      </c>
    </row>
    <row r="361">
      <c r="A361">
        <f>IFERROR(INDEX(SORT(FILTER(Transactions!$B:$B,(Transactions!$C:$C="Buy")*(Transactions!$B:$B&lt;&gt;"")),1,1),360),"")</f>
        <v/>
      </c>
      <c r="B361">
        <f>IF(A361="","",INDEX(SORT(FILTER(Transactions!$A:$G,(Transactions!$C:$C="Buy")*(Transactions!$B:$B&lt;&gt;"")),2,1),360,1))</f>
        <v/>
      </c>
      <c r="C361">
        <f>IF(A361="","",INDEX(SORT(FILTER(Transactions!$A:$G,(Transactions!$C:$C="Buy")*(Transactions!$B:$B&lt;&gt;"")),2,1),360,4))</f>
        <v/>
      </c>
      <c r="D361">
        <f>IF(A361="","",INDEX(SORT(FILTER(Transactions!$A:$G,(Transactions!$C:$C="Buy")*(Transactions!$B:$B&lt;&gt;"")),2,1),360,5))</f>
        <v/>
      </c>
      <c r="E361">
        <f>IF(C361="","",C361*D361)</f>
        <v/>
      </c>
      <c r="F361">
        <f>IF(A361="","",SUMIFS(C$2:C361,A$2:A361,A361,B$2:B361,"&lt;="&amp;B361))</f>
        <v/>
      </c>
      <c r="G361">
        <f>IF(A361="","",SUMIFS(Transactions!$D:$D,Transactions!$B:$B,A361,Transactions!$C:$C,"Sell"))</f>
        <v/>
      </c>
      <c r="H361">
        <f>IF(A361="","",MAX(0,MIN(C361,G361-SUM(H$2:H360))))</f>
        <v/>
      </c>
      <c r="I361">
        <f>IF(C361="","",C361-H361)</f>
        <v/>
      </c>
      <c r="J361">
        <f>IF(I361="","",I361*D361)</f>
        <v/>
      </c>
    </row>
    <row r="362">
      <c r="A362">
        <f>IFERROR(INDEX(SORT(FILTER(Transactions!$B:$B,(Transactions!$C:$C="Buy")*(Transactions!$B:$B&lt;&gt;"")),1,1),361),"")</f>
        <v/>
      </c>
      <c r="B362">
        <f>IF(A362="","",INDEX(SORT(FILTER(Transactions!$A:$G,(Transactions!$C:$C="Buy")*(Transactions!$B:$B&lt;&gt;"")),2,1),361,1))</f>
        <v/>
      </c>
      <c r="C362">
        <f>IF(A362="","",INDEX(SORT(FILTER(Transactions!$A:$G,(Transactions!$C:$C="Buy")*(Transactions!$B:$B&lt;&gt;"")),2,1),361,4))</f>
        <v/>
      </c>
      <c r="D362">
        <f>IF(A362="","",INDEX(SORT(FILTER(Transactions!$A:$G,(Transactions!$C:$C="Buy")*(Transactions!$B:$B&lt;&gt;"")),2,1),361,5))</f>
        <v/>
      </c>
      <c r="E362">
        <f>IF(C362="","",C362*D362)</f>
        <v/>
      </c>
      <c r="F362">
        <f>IF(A362="","",SUMIFS(C$2:C362,A$2:A362,A362,B$2:B362,"&lt;="&amp;B362))</f>
        <v/>
      </c>
      <c r="G362">
        <f>IF(A362="","",SUMIFS(Transactions!$D:$D,Transactions!$B:$B,A362,Transactions!$C:$C,"Sell"))</f>
        <v/>
      </c>
      <c r="H362">
        <f>IF(A362="","",MAX(0,MIN(C362,G362-SUM(H$2:H361))))</f>
        <v/>
      </c>
      <c r="I362">
        <f>IF(C362="","",C362-H362)</f>
        <v/>
      </c>
      <c r="J362">
        <f>IF(I362="","",I362*D362)</f>
        <v/>
      </c>
    </row>
    <row r="363">
      <c r="A363">
        <f>IFERROR(INDEX(SORT(FILTER(Transactions!$B:$B,(Transactions!$C:$C="Buy")*(Transactions!$B:$B&lt;&gt;"")),1,1),362),"")</f>
        <v/>
      </c>
      <c r="B363">
        <f>IF(A363="","",INDEX(SORT(FILTER(Transactions!$A:$G,(Transactions!$C:$C="Buy")*(Transactions!$B:$B&lt;&gt;"")),2,1),362,1))</f>
        <v/>
      </c>
      <c r="C363">
        <f>IF(A363="","",INDEX(SORT(FILTER(Transactions!$A:$G,(Transactions!$C:$C="Buy")*(Transactions!$B:$B&lt;&gt;"")),2,1),362,4))</f>
        <v/>
      </c>
      <c r="D363">
        <f>IF(A363="","",INDEX(SORT(FILTER(Transactions!$A:$G,(Transactions!$C:$C="Buy")*(Transactions!$B:$B&lt;&gt;"")),2,1),362,5))</f>
        <v/>
      </c>
      <c r="E363">
        <f>IF(C363="","",C363*D363)</f>
        <v/>
      </c>
      <c r="F363">
        <f>IF(A363="","",SUMIFS(C$2:C363,A$2:A363,A363,B$2:B363,"&lt;="&amp;B363))</f>
        <v/>
      </c>
      <c r="G363">
        <f>IF(A363="","",SUMIFS(Transactions!$D:$D,Transactions!$B:$B,A363,Transactions!$C:$C,"Sell"))</f>
        <v/>
      </c>
      <c r="H363">
        <f>IF(A363="","",MAX(0,MIN(C363,G363-SUM(H$2:H362))))</f>
        <v/>
      </c>
      <c r="I363">
        <f>IF(C363="","",C363-H363)</f>
        <v/>
      </c>
      <c r="J363">
        <f>IF(I363="","",I363*D363)</f>
        <v/>
      </c>
    </row>
    <row r="364">
      <c r="A364">
        <f>IFERROR(INDEX(SORT(FILTER(Transactions!$B:$B,(Transactions!$C:$C="Buy")*(Transactions!$B:$B&lt;&gt;"")),1,1),363),"")</f>
        <v/>
      </c>
      <c r="B364">
        <f>IF(A364="","",INDEX(SORT(FILTER(Transactions!$A:$G,(Transactions!$C:$C="Buy")*(Transactions!$B:$B&lt;&gt;"")),2,1),363,1))</f>
        <v/>
      </c>
      <c r="C364">
        <f>IF(A364="","",INDEX(SORT(FILTER(Transactions!$A:$G,(Transactions!$C:$C="Buy")*(Transactions!$B:$B&lt;&gt;"")),2,1),363,4))</f>
        <v/>
      </c>
      <c r="D364">
        <f>IF(A364="","",INDEX(SORT(FILTER(Transactions!$A:$G,(Transactions!$C:$C="Buy")*(Transactions!$B:$B&lt;&gt;"")),2,1),363,5))</f>
        <v/>
      </c>
      <c r="E364">
        <f>IF(C364="","",C364*D364)</f>
        <v/>
      </c>
      <c r="F364">
        <f>IF(A364="","",SUMIFS(C$2:C364,A$2:A364,A364,B$2:B364,"&lt;="&amp;B364))</f>
        <v/>
      </c>
      <c r="G364">
        <f>IF(A364="","",SUMIFS(Transactions!$D:$D,Transactions!$B:$B,A364,Transactions!$C:$C,"Sell"))</f>
        <v/>
      </c>
      <c r="H364">
        <f>IF(A364="","",MAX(0,MIN(C364,G364-SUM(H$2:H363))))</f>
        <v/>
      </c>
      <c r="I364">
        <f>IF(C364="","",C364-H364)</f>
        <v/>
      </c>
      <c r="J364">
        <f>IF(I364="","",I364*D364)</f>
        <v/>
      </c>
    </row>
    <row r="365">
      <c r="A365">
        <f>IFERROR(INDEX(SORT(FILTER(Transactions!$B:$B,(Transactions!$C:$C="Buy")*(Transactions!$B:$B&lt;&gt;"")),1,1),364),"")</f>
        <v/>
      </c>
      <c r="B365">
        <f>IF(A365="","",INDEX(SORT(FILTER(Transactions!$A:$G,(Transactions!$C:$C="Buy")*(Transactions!$B:$B&lt;&gt;"")),2,1),364,1))</f>
        <v/>
      </c>
      <c r="C365">
        <f>IF(A365="","",INDEX(SORT(FILTER(Transactions!$A:$G,(Transactions!$C:$C="Buy")*(Transactions!$B:$B&lt;&gt;"")),2,1),364,4))</f>
        <v/>
      </c>
      <c r="D365">
        <f>IF(A365="","",INDEX(SORT(FILTER(Transactions!$A:$G,(Transactions!$C:$C="Buy")*(Transactions!$B:$B&lt;&gt;"")),2,1),364,5))</f>
        <v/>
      </c>
      <c r="E365">
        <f>IF(C365="","",C365*D365)</f>
        <v/>
      </c>
      <c r="F365">
        <f>IF(A365="","",SUMIFS(C$2:C365,A$2:A365,A365,B$2:B365,"&lt;="&amp;B365))</f>
        <v/>
      </c>
      <c r="G365">
        <f>IF(A365="","",SUMIFS(Transactions!$D:$D,Transactions!$B:$B,A365,Transactions!$C:$C,"Sell"))</f>
        <v/>
      </c>
      <c r="H365">
        <f>IF(A365="","",MAX(0,MIN(C365,G365-SUM(H$2:H364))))</f>
        <v/>
      </c>
      <c r="I365">
        <f>IF(C365="","",C365-H365)</f>
        <v/>
      </c>
      <c r="J365">
        <f>IF(I365="","",I365*D365)</f>
        <v/>
      </c>
    </row>
    <row r="366">
      <c r="A366">
        <f>IFERROR(INDEX(SORT(FILTER(Transactions!$B:$B,(Transactions!$C:$C="Buy")*(Transactions!$B:$B&lt;&gt;"")),1,1),365),"")</f>
        <v/>
      </c>
      <c r="B366">
        <f>IF(A366="","",INDEX(SORT(FILTER(Transactions!$A:$G,(Transactions!$C:$C="Buy")*(Transactions!$B:$B&lt;&gt;"")),2,1),365,1))</f>
        <v/>
      </c>
      <c r="C366">
        <f>IF(A366="","",INDEX(SORT(FILTER(Transactions!$A:$G,(Transactions!$C:$C="Buy")*(Transactions!$B:$B&lt;&gt;"")),2,1),365,4))</f>
        <v/>
      </c>
      <c r="D366">
        <f>IF(A366="","",INDEX(SORT(FILTER(Transactions!$A:$G,(Transactions!$C:$C="Buy")*(Transactions!$B:$B&lt;&gt;"")),2,1),365,5))</f>
        <v/>
      </c>
      <c r="E366">
        <f>IF(C366="","",C366*D366)</f>
        <v/>
      </c>
      <c r="F366">
        <f>IF(A366="","",SUMIFS(C$2:C366,A$2:A366,A366,B$2:B366,"&lt;="&amp;B366))</f>
        <v/>
      </c>
      <c r="G366">
        <f>IF(A366="","",SUMIFS(Transactions!$D:$D,Transactions!$B:$B,A366,Transactions!$C:$C,"Sell"))</f>
        <v/>
      </c>
      <c r="H366">
        <f>IF(A366="","",MAX(0,MIN(C366,G366-SUM(H$2:H365))))</f>
        <v/>
      </c>
      <c r="I366">
        <f>IF(C366="","",C366-H366)</f>
        <v/>
      </c>
      <c r="J366">
        <f>IF(I366="","",I366*D366)</f>
        <v/>
      </c>
    </row>
    <row r="367">
      <c r="A367">
        <f>IFERROR(INDEX(SORT(FILTER(Transactions!$B:$B,(Transactions!$C:$C="Buy")*(Transactions!$B:$B&lt;&gt;"")),1,1),366),"")</f>
        <v/>
      </c>
      <c r="B367">
        <f>IF(A367="","",INDEX(SORT(FILTER(Transactions!$A:$G,(Transactions!$C:$C="Buy")*(Transactions!$B:$B&lt;&gt;"")),2,1),366,1))</f>
        <v/>
      </c>
      <c r="C367">
        <f>IF(A367="","",INDEX(SORT(FILTER(Transactions!$A:$G,(Transactions!$C:$C="Buy")*(Transactions!$B:$B&lt;&gt;"")),2,1),366,4))</f>
        <v/>
      </c>
      <c r="D367">
        <f>IF(A367="","",INDEX(SORT(FILTER(Transactions!$A:$G,(Transactions!$C:$C="Buy")*(Transactions!$B:$B&lt;&gt;"")),2,1),366,5))</f>
        <v/>
      </c>
      <c r="E367">
        <f>IF(C367="","",C367*D367)</f>
        <v/>
      </c>
      <c r="F367">
        <f>IF(A367="","",SUMIFS(C$2:C367,A$2:A367,A367,B$2:B367,"&lt;="&amp;B367))</f>
        <v/>
      </c>
      <c r="G367">
        <f>IF(A367="","",SUMIFS(Transactions!$D:$D,Transactions!$B:$B,A367,Transactions!$C:$C,"Sell"))</f>
        <v/>
      </c>
      <c r="H367">
        <f>IF(A367="","",MAX(0,MIN(C367,G367-SUM(H$2:H366))))</f>
        <v/>
      </c>
      <c r="I367">
        <f>IF(C367="","",C367-H367)</f>
        <v/>
      </c>
      <c r="J367">
        <f>IF(I367="","",I367*D367)</f>
        <v/>
      </c>
    </row>
    <row r="368">
      <c r="A368">
        <f>IFERROR(INDEX(SORT(FILTER(Transactions!$B:$B,(Transactions!$C:$C="Buy")*(Transactions!$B:$B&lt;&gt;"")),1,1),367),"")</f>
        <v/>
      </c>
      <c r="B368">
        <f>IF(A368="","",INDEX(SORT(FILTER(Transactions!$A:$G,(Transactions!$C:$C="Buy")*(Transactions!$B:$B&lt;&gt;"")),2,1),367,1))</f>
        <v/>
      </c>
      <c r="C368">
        <f>IF(A368="","",INDEX(SORT(FILTER(Transactions!$A:$G,(Transactions!$C:$C="Buy")*(Transactions!$B:$B&lt;&gt;"")),2,1),367,4))</f>
        <v/>
      </c>
      <c r="D368">
        <f>IF(A368="","",INDEX(SORT(FILTER(Transactions!$A:$G,(Transactions!$C:$C="Buy")*(Transactions!$B:$B&lt;&gt;"")),2,1),367,5))</f>
        <v/>
      </c>
      <c r="E368">
        <f>IF(C368="","",C368*D368)</f>
        <v/>
      </c>
      <c r="F368">
        <f>IF(A368="","",SUMIFS(C$2:C368,A$2:A368,A368,B$2:B368,"&lt;="&amp;B368))</f>
        <v/>
      </c>
      <c r="G368">
        <f>IF(A368="","",SUMIFS(Transactions!$D:$D,Transactions!$B:$B,A368,Transactions!$C:$C,"Sell"))</f>
        <v/>
      </c>
      <c r="H368">
        <f>IF(A368="","",MAX(0,MIN(C368,G368-SUM(H$2:H367))))</f>
        <v/>
      </c>
      <c r="I368">
        <f>IF(C368="","",C368-H368)</f>
        <v/>
      </c>
      <c r="J368">
        <f>IF(I368="","",I368*D368)</f>
        <v/>
      </c>
    </row>
    <row r="369">
      <c r="A369">
        <f>IFERROR(INDEX(SORT(FILTER(Transactions!$B:$B,(Transactions!$C:$C="Buy")*(Transactions!$B:$B&lt;&gt;"")),1,1),368),"")</f>
        <v/>
      </c>
      <c r="B369">
        <f>IF(A369="","",INDEX(SORT(FILTER(Transactions!$A:$G,(Transactions!$C:$C="Buy")*(Transactions!$B:$B&lt;&gt;"")),2,1),368,1))</f>
        <v/>
      </c>
      <c r="C369">
        <f>IF(A369="","",INDEX(SORT(FILTER(Transactions!$A:$G,(Transactions!$C:$C="Buy")*(Transactions!$B:$B&lt;&gt;"")),2,1),368,4))</f>
        <v/>
      </c>
      <c r="D369">
        <f>IF(A369="","",INDEX(SORT(FILTER(Transactions!$A:$G,(Transactions!$C:$C="Buy")*(Transactions!$B:$B&lt;&gt;"")),2,1),368,5))</f>
        <v/>
      </c>
      <c r="E369">
        <f>IF(C369="","",C369*D369)</f>
        <v/>
      </c>
      <c r="F369">
        <f>IF(A369="","",SUMIFS(C$2:C369,A$2:A369,A369,B$2:B369,"&lt;="&amp;B369))</f>
        <v/>
      </c>
      <c r="G369">
        <f>IF(A369="","",SUMIFS(Transactions!$D:$D,Transactions!$B:$B,A369,Transactions!$C:$C,"Sell"))</f>
        <v/>
      </c>
      <c r="H369">
        <f>IF(A369="","",MAX(0,MIN(C369,G369-SUM(H$2:H368))))</f>
        <v/>
      </c>
      <c r="I369">
        <f>IF(C369="","",C369-H369)</f>
        <v/>
      </c>
      <c r="J369">
        <f>IF(I369="","",I369*D369)</f>
        <v/>
      </c>
    </row>
    <row r="370">
      <c r="A370">
        <f>IFERROR(INDEX(SORT(FILTER(Transactions!$B:$B,(Transactions!$C:$C="Buy")*(Transactions!$B:$B&lt;&gt;"")),1,1),369),"")</f>
        <v/>
      </c>
      <c r="B370">
        <f>IF(A370="","",INDEX(SORT(FILTER(Transactions!$A:$G,(Transactions!$C:$C="Buy")*(Transactions!$B:$B&lt;&gt;"")),2,1),369,1))</f>
        <v/>
      </c>
      <c r="C370">
        <f>IF(A370="","",INDEX(SORT(FILTER(Transactions!$A:$G,(Transactions!$C:$C="Buy")*(Transactions!$B:$B&lt;&gt;"")),2,1),369,4))</f>
        <v/>
      </c>
      <c r="D370">
        <f>IF(A370="","",INDEX(SORT(FILTER(Transactions!$A:$G,(Transactions!$C:$C="Buy")*(Transactions!$B:$B&lt;&gt;"")),2,1),369,5))</f>
        <v/>
      </c>
      <c r="E370">
        <f>IF(C370="","",C370*D370)</f>
        <v/>
      </c>
      <c r="F370">
        <f>IF(A370="","",SUMIFS(C$2:C370,A$2:A370,A370,B$2:B370,"&lt;="&amp;B370))</f>
        <v/>
      </c>
      <c r="G370">
        <f>IF(A370="","",SUMIFS(Transactions!$D:$D,Transactions!$B:$B,A370,Transactions!$C:$C,"Sell"))</f>
        <v/>
      </c>
      <c r="H370">
        <f>IF(A370="","",MAX(0,MIN(C370,G370-SUM(H$2:H369))))</f>
        <v/>
      </c>
      <c r="I370">
        <f>IF(C370="","",C370-H370)</f>
        <v/>
      </c>
      <c r="J370">
        <f>IF(I370="","",I370*D370)</f>
        <v/>
      </c>
    </row>
    <row r="371">
      <c r="A371">
        <f>IFERROR(INDEX(SORT(FILTER(Transactions!$B:$B,(Transactions!$C:$C="Buy")*(Transactions!$B:$B&lt;&gt;"")),1,1),370),"")</f>
        <v/>
      </c>
      <c r="B371">
        <f>IF(A371="","",INDEX(SORT(FILTER(Transactions!$A:$G,(Transactions!$C:$C="Buy")*(Transactions!$B:$B&lt;&gt;"")),2,1),370,1))</f>
        <v/>
      </c>
      <c r="C371">
        <f>IF(A371="","",INDEX(SORT(FILTER(Transactions!$A:$G,(Transactions!$C:$C="Buy")*(Transactions!$B:$B&lt;&gt;"")),2,1),370,4))</f>
        <v/>
      </c>
      <c r="D371">
        <f>IF(A371="","",INDEX(SORT(FILTER(Transactions!$A:$G,(Transactions!$C:$C="Buy")*(Transactions!$B:$B&lt;&gt;"")),2,1),370,5))</f>
        <v/>
      </c>
      <c r="E371">
        <f>IF(C371="","",C371*D371)</f>
        <v/>
      </c>
      <c r="F371">
        <f>IF(A371="","",SUMIFS(C$2:C371,A$2:A371,A371,B$2:B371,"&lt;="&amp;B371))</f>
        <v/>
      </c>
      <c r="G371">
        <f>IF(A371="","",SUMIFS(Transactions!$D:$D,Transactions!$B:$B,A371,Transactions!$C:$C,"Sell"))</f>
        <v/>
      </c>
      <c r="H371">
        <f>IF(A371="","",MAX(0,MIN(C371,G371-SUM(H$2:H370))))</f>
        <v/>
      </c>
      <c r="I371">
        <f>IF(C371="","",C371-H371)</f>
        <v/>
      </c>
      <c r="J371">
        <f>IF(I371="","",I371*D371)</f>
        <v/>
      </c>
    </row>
    <row r="372">
      <c r="A372">
        <f>IFERROR(INDEX(SORT(FILTER(Transactions!$B:$B,(Transactions!$C:$C="Buy")*(Transactions!$B:$B&lt;&gt;"")),1,1),371),"")</f>
        <v/>
      </c>
      <c r="B372">
        <f>IF(A372="","",INDEX(SORT(FILTER(Transactions!$A:$G,(Transactions!$C:$C="Buy")*(Transactions!$B:$B&lt;&gt;"")),2,1),371,1))</f>
        <v/>
      </c>
      <c r="C372">
        <f>IF(A372="","",INDEX(SORT(FILTER(Transactions!$A:$G,(Transactions!$C:$C="Buy")*(Transactions!$B:$B&lt;&gt;"")),2,1),371,4))</f>
        <v/>
      </c>
      <c r="D372">
        <f>IF(A372="","",INDEX(SORT(FILTER(Transactions!$A:$G,(Transactions!$C:$C="Buy")*(Transactions!$B:$B&lt;&gt;"")),2,1),371,5))</f>
        <v/>
      </c>
      <c r="E372">
        <f>IF(C372="","",C372*D372)</f>
        <v/>
      </c>
      <c r="F372">
        <f>IF(A372="","",SUMIFS(C$2:C372,A$2:A372,A372,B$2:B372,"&lt;="&amp;B372))</f>
        <v/>
      </c>
      <c r="G372">
        <f>IF(A372="","",SUMIFS(Transactions!$D:$D,Transactions!$B:$B,A372,Transactions!$C:$C,"Sell"))</f>
        <v/>
      </c>
      <c r="H372">
        <f>IF(A372="","",MAX(0,MIN(C372,G372-SUM(H$2:H371))))</f>
        <v/>
      </c>
      <c r="I372">
        <f>IF(C372="","",C372-H372)</f>
        <v/>
      </c>
      <c r="J372">
        <f>IF(I372="","",I372*D372)</f>
        <v/>
      </c>
    </row>
    <row r="373">
      <c r="A373">
        <f>IFERROR(INDEX(SORT(FILTER(Transactions!$B:$B,(Transactions!$C:$C="Buy")*(Transactions!$B:$B&lt;&gt;"")),1,1),372),"")</f>
        <v/>
      </c>
      <c r="B373">
        <f>IF(A373="","",INDEX(SORT(FILTER(Transactions!$A:$G,(Transactions!$C:$C="Buy")*(Transactions!$B:$B&lt;&gt;"")),2,1),372,1))</f>
        <v/>
      </c>
      <c r="C373">
        <f>IF(A373="","",INDEX(SORT(FILTER(Transactions!$A:$G,(Transactions!$C:$C="Buy")*(Transactions!$B:$B&lt;&gt;"")),2,1),372,4))</f>
        <v/>
      </c>
      <c r="D373">
        <f>IF(A373="","",INDEX(SORT(FILTER(Transactions!$A:$G,(Transactions!$C:$C="Buy")*(Transactions!$B:$B&lt;&gt;"")),2,1),372,5))</f>
        <v/>
      </c>
      <c r="E373">
        <f>IF(C373="","",C373*D373)</f>
        <v/>
      </c>
      <c r="F373">
        <f>IF(A373="","",SUMIFS(C$2:C373,A$2:A373,A373,B$2:B373,"&lt;="&amp;B373))</f>
        <v/>
      </c>
      <c r="G373">
        <f>IF(A373="","",SUMIFS(Transactions!$D:$D,Transactions!$B:$B,A373,Transactions!$C:$C,"Sell"))</f>
        <v/>
      </c>
      <c r="H373">
        <f>IF(A373="","",MAX(0,MIN(C373,G373-SUM(H$2:H372))))</f>
        <v/>
      </c>
      <c r="I373">
        <f>IF(C373="","",C373-H373)</f>
        <v/>
      </c>
      <c r="J373">
        <f>IF(I373="","",I373*D373)</f>
        <v/>
      </c>
    </row>
    <row r="374">
      <c r="A374">
        <f>IFERROR(INDEX(SORT(FILTER(Transactions!$B:$B,(Transactions!$C:$C="Buy")*(Transactions!$B:$B&lt;&gt;"")),1,1),373),"")</f>
        <v/>
      </c>
      <c r="B374">
        <f>IF(A374="","",INDEX(SORT(FILTER(Transactions!$A:$G,(Transactions!$C:$C="Buy")*(Transactions!$B:$B&lt;&gt;"")),2,1),373,1))</f>
        <v/>
      </c>
      <c r="C374">
        <f>IF(A374="","",INDEX(SORT(FILTER(Transactions!$A:$G,(Transactions!$C:$C="Buy")*(Transactions!$B:$B&lt;&gt;"")),2,1),373,4))</f>
        <v/>
      </c>
      <c r="D374">
        <f>IF(A374="","",INDEX(SORT(FILTER(Transactions!$A:$G,(Transactions!$C:$C="Buy")*(Transactions!$B:$B&lt;&gt;"")),2,1),373,5))</f>
        <v/>
      </c>
      <c r="E374">
        <f>IF(C374="","",C374*D374)</f>
        <v/>
      </c>
      <c r="F374">
        <f>IF(A374="","",SUMIFS(C$2:C374,A$2:A374,A374,B$2:B374,"&lt;="&amp;B374))</f>
        <v/>
      </c>
      <c r="G374">
        <f>IF(A374="","",SUMIFS(Transactions!$D:$D,Transactions!$B:$B,A374,Transactions!$C:$C,"Sell"))</f>
        <v/>
      </c>
      <c r="H374">
        <f>IF(A374="","",MAX(0,MIN(C374,G374-SUM(H$2:H373))))</f>
        <v/>
      </c>
      <c r="I374">
        <f>IF(C374="","",C374-H374)</f>
        <v/>
      </c>
      <c r="J374">
        <f>IF(I374="","",I374*D374)</f>
        <v/>
      </c>
    </row>
    <row r="375">
      <c r="A375">
        <f>IFERROR(INDEX(SORT(FILTER(Transactions!$B:$B,(Transactions!$C:$C="Buy")*(Transactions!$B:$B&lt;&gt;"")),1,1),374),"")</f>
        <v/>
      </c>
      <c r="B375">
        <f>IF(A375="","",INDEX(SORT(FILTER(Transactions!$A:$G,(Transactions!$C:$C="Buy")*(Transactions!$B:$B&lt;&gt;"")),2,1),374,1))</f>
        <v/>
      </c>
      <c r="C375">
        <f>IF(A375="","",INDEX(SORT(FILTER(Transactions!$A:$G,(Transactions!$C:$C="Buy")*(Transactions!$B:$B&lt;&gt;"")),2,1),374,4))</f>
        <v/>
      </c>
      <c r="D375">
        <f>IF(A375="","",INDEX(SORT(FILTER(Transactions!$A:$G,(Transactions!$C:$C="Buy")*(Transactions!$B:$B&lt;&gt;"")),2,1),374,5))</f>
        <v/>
      </c>
      <c r="E375">
        <f>IF(C375="","",C375*D375)</f>
        <v/>
      </c>
      <c r="F375">
        <f>IF(A375="","",SUMIFS(C$2:C375,A$2:A375,A375,B$2:B375,"&lt;="&amp;B375))</f>
        <v/>
      </c>
      <c r="G375">
        <f>IF(A375="","",SUMIFS(Transactions!$D:$D,Transactions!$B:$B,A375,Transactions!$C:$C,"Sell"))</f>
        <v/>
      </c>
      <c r="H375">
        <f>IF(A375="","",MAX(0,MIN(C375,G375-SUM(H$2:H374))))</f>
        <v/>
      </c>
      <c r="I375">
        <f>IF(C375="","",C375-H375)</f>
        <v/>
      </c>
      <c r="J375">
        <f>IF(I375="","",I375*D375)</f>
        <v/>
      </c>
    </row>
    <row r="376">
      <c r="A376">
        <f>IFERROR(INDEX(SORT(FILTER(Transactions!$B:$B,(Transactions!$C:$C="Buy")*(Transactions!$B:$B&lt;&gt;"")),1,1),375),"")</f>
        <v/>
      </c>
      <c r="B376">
        <f>IF(A376="","",INDEX(SORT(FILTER(Transactions!$A:$G,(Transactions!$C:$C="Buy")*(Transactions!$B:$B&lt;&gt;"")),2,1),375,1))</f>
        <v/>
      </c>
      <c r="C376">
        <f>IF(A376="","",INDEX(SORT(FILTER(Transactions!$A:$G,(Transactions!$C:$C="Buy")*(Transactions!$B:$B&lt;&gt;"")),2,1),375,4))</f>
        <v/>
      </c>
      <c r="D376">
        <f>IF(A376="","",INDEX(SORT(FILTER(Transactions!$A:$G,(Transactions!$C:$C="Buy")*(Transactions!$B:$B&lt;&gt;"")),2,1),375,5))</f>
        <v/>
      </c>
      <c r="E376">
        <f>IF(C376="","",C376*D376)</f>
        <v/>
      </c>
      <c r="F376">
        <f>IF(A376="","",SUMIFS(C$2:C376,A$2:A376,A376,B$2:B376,"&lt;="&amp;B376))</f>
        <v/>
      </c>
      <c r="G376">
        <f>IF(A376="","",SUMIFS(Transactions!$D:$D,Transactions!$B:$B,A376,Transactions!$C:$C,"Sell"))</f>
        <v/>
      </c>
      <c r="H376">
        <f>IF(A376="","",MAX(0,MIN(C376,G376-SUM(H$2:H375))))</f>
        <v/>
      </c>
      <c r="I376">
        <f>IF(C376="","",C376-H376)</f>
        <v/>
      </c>
      <c r="J376">
        <f>IF(I376="","",I376*D376)</f>
        <v/>
      </c>
    </row>
    <row r="377">
      <c r="A377">
        <f>IFERROR(INDEX(SORT(FILTER(Transactions!$B:$B,(Transactions!$C:$C="Buy")*(Transactions!$B:$B&lt;&gt;"")),1,1),376),"")</f>
        <v/>
      </c>
      <c r="B377">
        <f>IF(A377="","",INDEX(SORT(FILTER(Transactions!$A:$G,(Transactions!$C:$C="Buy")*(Transactions!$B:$B&lt;&gt;"")),2,1),376,1))</f>
        <v/>
      </c>
      <c r="C377">
        <f>IF(A377="","",INDEX(SORT(FILTER(Transactions!$A:$G,(Transactions!$C:$C="Buy")*(Transactions!$B:$B&lt;&gt;"")),2,1),376,4))</f>
        <v/>
      </c>
      <c r="D377">
        <f>IF(A377="","",INDEX(SORT(FILTER(Transactions!$A:$G,(Transactions!$C:$C="Buy")*(Transactions!$B:$B&lt;&gt;"")),2,1),376,5))</f>
        <v/>
      </c>
      <c r="E377">
        <f>IF(C377="","",C377*D377)</f>
        <v/>
      </c>
      <c r="F377">
        <f>IF(A377="","",SUMIFS(C$2:C377,A$2:A377,A377,B$2:B377,"&lt;="&amp;B377))</f>
        <v/>
      </c>
      <c r="G377">
        <f>IF(A377="","",SUMIFS(Transactions!$D:$D,Transactions!$B:$B,A377,Transactions!$C:$C,"Sell"))</f>
        <v/>
      </c>
      <c r="H377">
        <f>IF(A377="","",MAX(0,MIN(C377,G377-SUM(H$2:H376))))</f>
        <v/>
      </c>
      <c r="I377">
        <f>IF(C377="","",C377-H377)</f>
        <v/>
      </c>
      <c r="J377">
        <f>IF(I377="","",I377*D377)</f>
        <v/>
      </c>
    </row>
    <row r="378">
      <c r="A378">
        <f>IFERROR(INDEX(SORT(FILTER(Transactions!$B:$B,(Transactions!$C:$C="Buy")*(Transactions!$B:$B&lt;&gt;"")),1,1),377),"")</f>
        <v/>
      </c>
      <c r="B378">
        <f>IF(A378="","",INDEX(SORT(FILTER(Transactions!$A:$G,(Transactions!$C:$C="Buy")*(Transactions!$B:$B&lt;&gt;"")),2,1),377,1))</f>
        <v/>
      </c>
      <c r="C378">
        <f>IF(A378="","",INDEX(SORT(FILTER(Transactions!$A:$G,(Transactions!$C:$C="Buy")*(Transactions!$B:$B&lt;&gt;"")),2,1),377,4))</f>
        <v/>
      </c>
      <c r="D378">
        <f>IF(A378="","",INDEX(SORT(FILTER(Transactions!$A:$G,(Transactions!$C:$C="Buy")*(Transactions!$B:$B&lt;&gt;"")),2,1),377,5))</f>
        <v/>
      </c>
      <c r="E378">
        <f>IF(C378="","",C378*D378)</f>
        <v/>
      </c>
      <c r="F378">
        <f>IF(A378="","",SUMIFS(C$2:C378,A$2:A378,A378,B$2:B378,"&lt;="&amp;B378))</f>
        <v/>
      </c>
      <c r="G378">
        <f>IF(A378="","",SUMIFS(Transactions!$D:$D,Transactions!$B:$B,A378,Transactions!$C:$C,"Sell"))</f>
        <v/>
      </c>
      <c r="H378">
        <f>IF(A378="","",MAX(0,MIN(C378,G378-SUM(H$2:H377))))</f>
        <v/>
      </c>
      <c r="I378">
        <f>IF(C378="","",C378-H378)</f>
        <v/>
      </c>
      <c r="J378">
        <f>IF(I378="","",I378*D378)</f>
        <v/>
      </c>
    </row>
    <row r="379">
      <c r="A379">
        <f>IFERROR(INDEX(SORT(FILTER(Transactions!$B:$B,(Transactions!$C:$C="Buy")*(Transactions!$B:$B&lt;&gt;"")),1,1),378),"")</f>
        <v/>
      </c>
      <c r="B379">
        <f>IF(A379="","",INDEX(SORT(FILTER(Transactions!$A:$G,(Transactions!$C:$C="Buy")*(Transactions!$B:$B&lt;&gt;"")),2,1),378,1))</f>
        <v/>
      </c>
      <c r="C379">
        <f>IF(A379="","",INDEX(SORT(FILTER(Transactions!$A:$G,(Transactions!$C:$C="Buy")*(Transactions!$B:$B&lt;&gt;"")),2,1),378,4))</f>
        <v/>
      </c>
      <c r="D379">
        <f>IF(A379="","",INDEX(SORT(FILTER(Transactions!$A:$G,(Transactions!$C:$C="Buy")*(Transactions!$B:$B&lt;&gt;"")),2,1),378,5))</f>
        <v/>
      </c>
      <c r="E379">
        <f>IF(C379="","",C379*D379)</f>
        <v/>
      </c>
      <c r="F379">
        <f>IF(A379="","",SUMIFS(C$2:C379,A$2:A379,A379,B$2:B379,"&lt;="&amp;B379))</f>
        <v/>
      </c>
      <c r="G379">
        <f>IF(A379="","",SUMIFS(Transactions!$D:$D,Transactions!$B:$B,A379,Transactions!$C:$C,"Sell"))</f>
        <v/>
      </c>
      <c r="H379">
        <f>IF(A379="","",MAX(0,MIN(C379,G379-SUM(H$2:H378))))</f>
        <v/>
      </c>
      <c r="I379">
        <f>IF(C379="","",C379-H379)</f>
        <v/>
      </c>
      <c r="J379">
        <f>IF(I379="","",I379*D379)</f>
        <v/>
      </c>
    </row>
    <row r="380">
      <c r="A380">
        <f>IFERROR(INDEX(SORT(FILTER(Transactions!$B:$B,(Transactions!$C:$C="Buy")*(Transactions!$B:$B&lt;&gt;"")),1,1),379),"")</f>
        <v/>
      </c>
      <c r="B380">
        <f>IF(A380="","",INDEX(SORT(FILTER(Transactions!$A:$G,(Transactions!$C:$C="Buy")*(Transactions!$B:$B&lt;&gt;"")),2,1),379,1))</f>
        <v/>
      </c>
      <c r="C380">
        <f>IF(A380="","",INDEX(SORT(FILTER(Transactions!$A:$G,(Transactions!$C:$C="Buy")*(Transactions!$B:$B&lt;&gt;"")),2,1),379,4))</f>
        <v/>
      </c>
      <c r="D380">
        <f>IF(A380="","",INDEX(SORT(FILTER(Transactions!$A:$G,(Transactions!$C:$C="Buy")*(Transactions!$B:$B&lt;&gt;"")),2,1),379,5))</f>
        <v/>
      </c>
      <c r="E380">
        <f>IF(C380="","",C380*D380)</f>
        <v/>
      </c>
      <c r="F380">
        <f>IF(A380="","",SUMIFS(C$2:C380,A$2:A380,A380,B$2:B380,"&lt;="&amp;B380))</f>
        <v/>
      </c>
      <c r="G380">
        <f>IF(A380="","",SUMIFS(Transactions!$D:$D,Transactions!$B:$B,A380,Transactions!$C:$C,"Sell"))</f>
        <v/>
      </c>
      <c r="H380">
        <f>IF(A380="","",MAX(0,MIN(C380,G380-SUM(H$2:H379))))</f>
        <v/>
      </c>
      <c r="I380">
        <f>IF(C380="","",C380-H380)</f>
        <v/>
      </c>
      <c r="J380">
        <f>IF(I380="","",I380*D380)</f>
        <v/>
      </c>
    </row>
    <row r="381">
      <c r="A381">
        <f>IFERROR(INDEX(SORT(FILTER(Transactions!$B:$B,(Transactions!$C:$C="Buy")*(Transactions!$B:$B&lt;&gt;"")),1,1),380),"")</f>
        <v/>
      </c>
      <c r="B381">
        <f>IF(A381="","",INDEX(SORT(FILTER(Transactions!$A:$G,(Transactions!$C:$C="Buy")*(Transactions!$B:$B&lt;&gt;"")),2,1),380,1))</f>
        <v/>
      </c>
      <c r="C381">
        <f>IF(A381="","",INDEX(SORT(FILTER(Transactions!$A:$G,(Transactions!$C:$C="Buy")*(Transactions!$B:$B&lt;&gt;"")),2,1),380,4))</f>
        <v/>
      </c>
      <c r="D381">
        <f>IF(A381="","",INDEX(SORT(FILTER(Transactions!$A:$G,(Transactions!$C:$C="Buy")*(Transactions!$B:$B&lt;&gt;"")),2,1),380,5))</f>
        <v/>
      </c>
      <c r="E381">
        <f>IF(C381="","",C381*D381)</f>
        <v/>
      </c>
      <c r="F381">
        <f>IF(A381="","",SUMIFS(C$2:C381,A$2:A381,A381,B$2:B381,"&lt;="&amp;B381))</f>
        <v/>
      </c>
      <c r="G381">
        <f>IF(A381="","",SUMIFS(Transactions!$D:$D,Transactions!$B:$B,A381,Transactions!$C:$C,"Sell"))</f>
        <v/>
      </c>
      <c r="H381">
        <f>IF(A381="","",MAX(0,MIN(C381,G381-SUM(H$2:H380))))</f>
        <v/>
      </c>
      <c r="I381">
        <f>IF(C381="","",C381-H381)</f>
        <v/>
      </c>
      <c r="J381">
        <f>IF(I381="","",I381*D381)</f>
        <v/>
      </c>
    </row>
    <row r="382">
      <c r="A382">
        <f>IFERROR(INDEX(SORT(FILTER(Transactions!$B:$B,(Transactions!$C:$C="Buy")*(Transactions!$B:$B&lt;&gt;"")),1,1),381),"")</f>
        <v/>
      </c>
      <c r="B382">
        <f>IF(A382="","",INDEX(SORT(FILTER(Transactions!$A:$G,(Transactions!$C:$C="Buy")*(Transactions!$B:$B&lt;&gt;"")),2,1),381,1))</f>
        <v/>
      </c>
      <c r="C382">
        <f>IF(A382="","",INDEX(SORT(FILTER(Transactions!$A:$G,(Transactions!$C:$C="Buy")*(Transactions!$B:$B&lt;&gt;"")),2,1),381,4))</f>
        <v/>
      </c>
      <c r="D382">
        <f>IF(A382="","",INDEX(SORT(FILTER(Transactions!$A:$G,(Transactions!$C:$C="Buy")*(Transactions!$B:$B&lt;&gt;"")),2,1),381,5))</f>
        <v/>
      </c>
      <c r="E382">
        <f>IF(C382="","",C382*D382)</f>
        <v/>
      </c>
      <c r="F382">
        <f>IF(A382="","",SUMIFS(C$2:C382,A$2:A382,A382,B$2:B382,"&lt;="&amp;B382))</f>
        <v/>
      </c>
      <c r="G382">
        <f>IF(A382="","",SUMIFS(Transactions!$D:$D,Transactions!$B:$B,A382,Transactions!$C:$C,"Sell"))</f>
        <v/>
      </c>
      <c r="H382">
        <f>IF(A382="","",MAX(0,MIN(C382,G382-SUM(H$2:H381))))</f>
        <v/>
      </c>
      <c r="I382">
        <f>IF(C382="","",C382-H382)</f>
        <v/>
      </c>
      <c r="J382">
        <f>IF(I382="","",I382*D382)</f>
        <v/>
      </c>
    </row>
    <row r="383">
      <c r="A383">
        <f>IFERROR(INDEX(SORT(FILTER(Transactions!$B:$B,(Transactions!$C:$C="Buy")*(Transactions!$B:$B&lt;&gt;"")),1,1),382),"")</f>
        <v/>
      </c>
      <c r="B383">
        <f>IF(A383="","",INDEX(SORT(FILTER(Transactions!$A:$G,(Transactions!$C:$C="Buy")*(Transactions!$B:$B&lt;&gt;"")),2,1),382,1))</f>
        <v/>
      </c>
      <c r="C383">
        <f>IF(A383="","",INDEX(SORT(FILTER(Transactions!$A:$G,(Transactions!$C:$C="Buy")*(Transactions!$B:$B&lt;&gt;"")),2,1),382,4))</f>
        <v/>
      </c>
      <c r="D383">
        <f>IF(A383="","",INDEX(SORT(FILTER(Transactions!$A:$G,(Transactions!$C:$C="Buy")*(Transactions!$B:$B&lt;&gt;"")),2,1),382,5))</f>
        <v/>
      </c>
      <c r="E383">
        <f>IF(C383="","",C383*D383)</f>
        <v/>
      </c>
      <c r="F383">
        <f>IF(A383="","",SUMIFS(C$2:C383,A$2:A383,A383,B$2:B383,"&lt;="&amp;B383))</f>
        <v/>
      </c>
      <c r="G383">
        <f>IF(A383="","",SUMIFS(Transactions!$D:$D,Transactions!$B:$B,A383,Transactions!$C:$C,"Sell"))</f>
        <v/>
      </c>
      <c r="H383">
        <f>IF(A383="","",MAX(0,MIN(C383,G383-SUM(H$2:H382))))</f>
        <v/>
      </c>
      <c r="I383">
        <f>IF(C383="","",C383-H383)</f>
        <v/>
      </c>
      <c r="J383">
        <f>IF(I383="","",I383*D383)</f>
        <v/>
      </c>
    </row>
    <row r="384">
      <c r="A384">
        <f>IFERROR(INDEX(SORT(FILTER(Transactions!$B:$B,(Transactions!$C:$C="Buy")*(Transactions!$B:$B&lt;&gt;"")),1,1),383),"")</f>
        <v/>
      </c>
      <c r="B384">
        <f>IF(A384="","",INDEX(SORT(FILTER(Transactions!$A:$G,(Transactions!$C:$C="Buy")*(Transactions!$B:$B&lt;&gt;"")),2,1),383,1))</f>
        <v/>
      </c>
      <c r="C384">
        <f>IF(A384="","",INDEX(SORT(FILTER(Transactions!$A:$G,(Transactions!$C:$C="Buy")*(Transactions!$B:$B&lt;&gt;"")),2,1),383,4))</f>
        <v/>
      </c>
      <c r="D384">
        <f>IF(A384="","",INDEX(SORT(FILTER(Transactions!$A:$G,(Transactions!$C:$C="Buy")*(Transactions!$B:$B&lt;&gt;"")),2,1),383,5))</f>
        <v/>
      </c>
      <c r="E384">
        <f>IF(C384="","",C384*D384)</f>
        <v/>
      </c>
      <c r="F384">
        <f>IF(A384="","",SUMIFS(C$2:C384,A$2:A384,A384,B$2:B384,"&lt;="&amp;B384))</f>
        <v/>
      </c>
      <c r="G384">
        <f>IF(A384="","",SUMIFS(Transactions!$D:$D,Transactions!$B:$B,A384,Transactions!$C:$C,"Sell"))</f>
        <v/>
      </c>
      <c r="H384">
        <f>IF(A384="","",MAX(0,MIN(C384,G384-SUM(H$2:H383))))</f>
        <v/>
      </c>
      <c r="I384">
        <f>IF(C384="","",C384-H384)</f>
        <v/>
      </c>
      <c r="J384">
        <f>IF(I384="","",I384*D384)</f>
        <v/>
      </c>
    </row>
    <row r="385">
      <c r="A385">
        <f>IFERROR(INDEX(SORT(FILTER(Transactions!$B:$B,(Transactions!$C:$C="Buy")*(Transactions!$B:$B&lt;&gt;"")),1,1),384),"")</f>
        <v/>
      </c>
      <c r="B385">
        <f>IF(A385="","",INDEX(SORT(FILTER(Transactions!$A:$G,(Transactions!$C:$C="Buy")*(Transactions!$B:$B&lt;&gt;"")),2,1),384,1))</f>
        <v/>
      </c>
      <c r="C385">
        <f>IF(A385="","",INDEX(SORT(FILTER(Transactions!$A:$G,(Transactions!$C:$C="Buy")*(Transactions!$B:$B&lt;&gt;"")),2,1),384,4))</f>
        <v/>
      </c>
      <c r="D385">
        <f>IF(A385="","",INDEX(SORT(FILTER(Transactions!$A:$G,(Transactions!$C:$C="Buy")*(Transactions!$B:$B&lt;&gt;"")),2,1),384,5))</f>
        <v/>
      </c>
      <c r="E385">
        <f>IF(C385="","",C385*D385)</f>
        <v/>
      </c>
      <c r="F385">
        <f>IF(A385="","",SUMIFS(C$2:C385,A$2:A385,A385,B$2:B385,"&lt;="&amp;B385))</f>
        <v/>
      </c>
      <c r="G385">
        <f>IF(A385="","",SUMIFS(Transactions!$D:$D,Transactions!$B:$B,A385,Transactions!$C:$C,"Sell"))</f>
        <v/>
      </c>
      <c r="H385">
        <f>IF(A385="","",MAX(0,MIN(C385,G385-SUM(H$2:H384))))</f>
        <v/>
      </c>
      <c r="I385">
        <f>IF(C385="","",C385-H385)</f>
        <v/>
      </c>
      <c r="J385">
        <f>IF(I385="","",I385*D385)</f>
        <v/>
      </c>
    </row>
    <row r="386">
      <c r="A386">
        <f>IFERROR(INDEX(SORT(FILTER(Transactions!$B:$B,(Transactions!$C:$C="Buy")*(Transactions!$B:$B&lt;&gt;"")),1,1),385),"")</f>
        <v/>
      </c>
      <c r="B386">
        <f>IF(A386="","",INDEX(SORT(FILTER(Transactions!$A:$G,(Transactions!$C:$C="Buy")*(Transactions!$B:$B&lt;&gt;"")),2,1),385,1))</f>
        <v/>
      </c>
      <c r="C386">
        <f>IF(A386="","",INDEX(SORT(FILTER(Transactions!$A:$G,(Transactions!$C:$C="Buy")*(Transactions!$B:$B&lt;&gt;"")),2,1),385,4))</f>
        <v/>
      </c>
      <c r="D386">
        <f>IF(A386="","",INDEX(SORT(FILTER(Transactions!$A:$G,(Transactions!$C:$C="Buy")*(Transactions!$B:$B&lt;&gt;"")),2,1),385,5))</f>
        <v/>
      </c>
      <c r="E386">
        <f>IF(C386="","",C386*D386)</f>
        <v/>
      </c>
      <c r="F386">
        <f>IF(A386="","",SUMIFS(C$2:C386,A$2:A386,A386,B$2:B386,"&lt;="&amp;B386))</f>
        <v/>
      </c>
      <c r="G386">
        <f>IF(A386="","",SUMIFS(Transactions!$D:$D,Transactions!$B:$B,A386,Transactions!$C:$C,"Sell"))</f>
        <v/>
      </c>
      <c r="H386">
        <f>IF(A386="","",MAX(0,MIN(C386,G386-SUM(H$2:H385))))</f>
        <v/>
      </c>
      <c r="I386">
        <f>IF(C386="","",C386-H386)</f>
        <v/>
      </c>
      <c r="J386">
        <f>IF(I386="","",I386*D386)</f>
        <v/>
      </c>
    </row>
    <row r="387">
      <c r="A387">
        <f>IFERROR(INDEX(SORT(FILTER(Transactions!$B:$B,(Transactions!$C:$C="Buy")*(Transactions!$B:$B&lt;&gt;"")),1,1),386),"")</f>
        <v/>
      </c>
      <c r="B387">
        <f>IF(A387="","",INDEX(SORT(FILTER(Transactions!$A:$G,(Transactions!$C:$C="Buy")*(Transactions!$B:$B&lt;&gt;"")),2,1),386,1))</f>
        <v/>
      </c>
      <c r="C387">
        <f>IF(A387="","",INDEX(SORT(FILTER(Transactions!$A:$G,(Transactions!$C:$C="Buy")*(Transactions!$B:$B&lt;&gt;"")),2,1),386,4))</f>
        <v/>
      </c>
      <c r="D387">
        <f>IF(A387="","",INDEX(SORT(FILTER(Transactions!$A:$G,(Transactions!$C:$C="Buy")*(Transactions!$B:$B&lt;&gt;"")),2,1),386,5))</f>
        <v/>
      </c>
      <c r="E387">
        <f>IF(C387="","",C387*D387)</f>
        <v/>
      </c>
      <c r="F387">
        <f>IF(A387="","",SUMIFS(C$2:C387,A$2:A387,A387,B$2:B387,"&lt;="&amp;B387))</f>
        <v/>
      </c>
      <c r="G387">
        <f>IF(A387="","",SUMIFS(Transactions!$D:$D,Transactions!$B:$B,A387,Transactions!$C:$C,"Sell"))</f>
        <v/>
      </c>
      <c r="H387">
        <f>IF(A387="","",MAX(0,MIN(C387,G387-SUM(H$2:H386))))</f>
        <v/>
      </c>
      <c r="I387">
        <f>IF(C387="","",C387-H387)</f>
        <v/>
      </c>
      <c r="J387">
        <f>IF(I387="","",I387*D387)</f>
        <v/>
      </c>
    </row>
    <row r="388">
      <c r="A388">
        <f>IFERROR(INDEX(SORT(FILTER(Transactions!$B:$B,(Transactions!$C:$C="Buy")*(Transactions!$B:$B&lt;&gt;"")),1,1),387),"")</f>
        <v/>
      </c>
      <c r="B388">
        <f>IF(A388="","",INDEX(SORT(FILTER(Transactions!$A:$G,(Transactions!$C:$C="Buy")*(Transactions!$B:$B&lt;&gt;"")),2,1),387,1))</f>
        <v/>
      </c>
      <c r="C388">
        <f>IF(A388="","",INDEX(SORT(FILTER(Transactions!$A:$G,(Transactions!$C:$C="Buy")*(Transactions!$B:$B&lt;&gt;"")),2,1),387,4))</f>
        <v/>
      </c>
      <c r="D388">
        <f>IF(A388="","",INDEX(SORT(FILTER(Transactions!$A:$G,(Transactions!$C:$C="Buy")*(Transactions!$B:$B&lt;&gt;"")),2,1),387,5))</f>
        <v/>
      </c>
      <c r="E388">
        <f>IF(C388="","",C388*D388)</f>
        <v/>
      </c>
      <c r="F388">
        <f>IF(A388="","",SUMIFS(C$2:C388,A$2:A388,A388,B$2:B388,"&lt;="&amp;B388))</f>
        <v/>
      </c>
      <c r="G388">
        <f>IF(A388="","",SUMIFS(Transactions!$D:$D,Transactions!$B:$B,A388,Transactions!$C:$C,"Sell"))</f>
        <v/>
      </c>
      <c r="H388">
        <f>IF(A388="","",MAX(0,MIN(C388,G388-SUM(H$2:H387))))</f>
        <v/>
      </c>
      <c r="I388">
        <f>IF(C388="","",C388-H388)</f>
        <v/>
      </c>
      <c r="J388">
        <f>IF(I388="","",I388*D388)</f>
        <v/>
      </c>
    </row>
    <row r="389">
      <c r="A389">
        <f>IFERROR(INDEX(SORT(FILTER(Transactions!$B:$B,(Transactions!$C:$C="Buy")*(Transactions!$B:$B&lt;&gt;"")),1,1),388),"")</f>
        <v/>
      </c>
      <c r="B389">
        <f>IF(A389="","",INDEX(SORT(FILTER(Transactions!$A:$G,(Transactions!$C:$C="Buy")*(Transactions!$B:$B&lt;&gt;"")),2,1),388,1))</f>
        <v/>
      </c>
      <c r="C389">
        <f>IF(A389="","",INDEX(SORT(FILTER(Transactions!$A:$G,(Transactions!$C:$C="Buy")*(Transactions!$B:$B&lt;&gt;"")),2,1),388,4))</f>
        <v/>
      </c>
      <c r="D389">
        <f>IF(A389="","",INDEX(SORT(FILTER(Transactions!$A:$G,(Transactions!$C:$C="Buy")*(Transactions!$B:$B&lt;&gt;"")),2,1),388,5))</f>
        <v/>
      </c>
      <c r="E389">
        <f>IF(C389="","",C389*D389)</f>
        <v/>
      </c>
      <c r="F389">
        <f>IF(A389="","",SUMIFS(C$2:C389,A$2:A389,A389,B$2:B389,"&lt;="&amp;B389))</f>
        <v/>
      </c>
      <c r="G389">
        <f>IF(A389="","",SUMIFS(Transactions!$D:$D,Transactions!$B:$B,A389,Transactions!$C:$C,"Sell"))</f>
        <v/>
      </c>
      <c r="H389">
        <f>IF(A389="","",MAX(0,MIN(C389,G389-SUM(H$2:H388))))</f>
        <v/>
      </c>
      <c r="I389">
        <f>IF(C389="","",C389-H389)</f>
        <v/>
      </c>
      <c r="J389">
        <f>IF(I389="","",I389*D389)</f>
        <v/>
      </c>
    </row>
    <row r="390">
      <c r="A390">
        <f>IFERROR(INDEX(SORT(FILTER(Transactions!$B:$B,(Transactions!$C:$C="Buy")*(Transactions!$B:$B&lt;&gt;"")),1,1),389),"")</f>
        <v/>
      </c>
      <c r="B390">
        <f>IF(A390="","",INDEX(SORT(FILTER(Transactions!$A:$G,(Transactions!$C:$C="Buy")*(Transactions!$B:$B&lt;&gt;"")),2,1),389,1))</f>
        <v/>
      </c>
      <c r="C390">
        <f>IF(A390="","",INDEX(SORT(FILTER(Transactions!$A:$G,(Transactions!$C:$C="Buy")*(Transactions!$B:$B&lt;&gt;"")),2,1),389,4))</f>
        <v/>
      </c>
      <c r="D390">
        <f>IF(A390="","",INDEX(SORT(FILTER(Transactions!$A:$G,(Transactions!$C:$C="Buy")*(Transactions!$B:$B&lt;&gt;"")),2,1),389,5))</f>
        <v/>
      </c>
      <c r="E390">
        <f>IF(C390="","",C390*D390)</f>
        <v/>
      </c>
      <c r="F390">
        <f>IF(A390="","",SUMIFS(C$2:C390,A$2:A390,A390,B$2:B390,"&lt;="&amp;B390))</f>
        <v/>
      </c>
      <c r="G390">
        <f>IF(A390="","",SUMIFS(Transactions!$D:$D,Transactions!$B:$B,A390,Transactions!$C:$C,"Sell"))</f>
        <v/>
      </c>
      <c r="H390">
        <f>IF(A390="","",MAX(0,MIN(C390,G390-SUM(H$2:H389))))</f>
        <v/>
      </c>
      <c r="I390">
        <f>IF(C390="","",C390-H390)</f>
        <v/>
      </c>
      <c r="J390">
        <f>IF(I390="","",I390*D390)</f>
        <v/>
      </c>
    </row>
    <row r="391">
      <c r="A391">
        <f>IFERROR(INDEX(SORT(FILTER(Transactions!$B:$B,(Transactions!$C:$C="Buy")*(Transactions!$B:$B&lt;&gt;"")),1,1),390),"")</f>
        <v/>
      </c>
      <c r="B391">
        <f>IF(A391="","",INDEX(SORT(FILTER(Transactions!$A:$G,(Transactions!$C:$C="Buy")*(Transactions!$B:$B&lt;&gt;"")),2,1),390,1))</f>
        <v/>
      </c>
      <c r="C391">
        <f>IF(A391="","",INDEX(SORT(FILTER(Transactions!$A:$G,(Transactions!$C:$C="Buy")*(Transactions!$B:$B&lt;&gt;"")),2,1),390,4))</f>
        <v/>
      </c>
      <c r="D391">
        <f>IF(A391="","",INDEX(SORT(FILTER(Transactions!$A:$G,(Transactions!$C:$C="Buy")*(Transactions!$B:$B&lt;&gt;"")),2,1),390,5))</f>
        <v/>
      </c>
      <c r="E391">
        <f>IF(C391="","",C391*D391)</f>
        <v/>
      </c>
      <c r="F391">
        <f>IF(A391="","",SUMIFS(C$2:C391,A$2:A391,A391,B$2:B391,"&lt;="&amp;B391))</f>
        <v/>
      </c>
      <c r="G391">
        <f>IF(A391="","",SUMIFS(Transactions!$D:$D,Transactions!$B:$B,A391,Transactions!$C:$C,"Sell"))</f>
        <v/>
      </c>
      <c r="H391">
        <f>IF(A391="","",MAX(0,MIN(C391,G391-SUM(H$2:H390))))</f>
        <v/>
      </c>
      <c r="I391">
        <f>IF(C391="","",C391-H391)</f>
        <v/>
      </c>
      <c r="J391">
        <f>IF(I391="","",I391*D391)</f>
        <v/>
      </c>
    </row>
    <row r="392">
      <c r="A392">
        <f>IFERROR(INDEX(SORT(FILTER(Transactions!$B:$B,(Transactions!$C:$C="Buy")*(Transactions!$B:$B&lt;&gt;"")),1,1),391),"")</f>
        <v/>
      </c>
      <c r="B392">
        <f>IF(A392="","",INDEX(SORT(FILTER(Transactions!$A:$G,(Transactions!$C:$C="Buy")*(Transactions!$B:$B&lt;&gt;"")),2,1),391,1))</f>
        <v/>
      </c>
      <c r="C392">
        <f>IF(A392="","",INDEX(SORT(FILTER(Transactions!$A:$G,(Transactions!$C:$C="Buy")*(Transactions!$B:$B&lt;&gt;"")),2,1),391,4))</f>
        <v/>
      </c>
      <c r="D392">
        <f>IF(A392="","",INDEX(SORT(FILTER(Transactions!$A:$G,(Transactions!$C:$C="Buy")*(Transactions!$B:$B&lt;&gt;"")),2,1),391,5))</f>
        <v/>
      </c>
      <c r="E392">
        <f>IF(C392="","",C392*D392)</f>
        <v/>
      </c>
      <c r="F392">
        <f>IF(A392="","",SUMIFS(C$2:C392,A$2:A392,A392,B$2:B392,"&lt;="&amp;B392))</f>
        <v/>
      </c>
      <c r="G392">
        <f>IF(A392="","",SUMIFS(Transactions!$D:$D,Transactions!$B:$B,A392,Transactions!$C:$C,"Sell"))</f>
        <v/>
      </c>
      <c r="H392">
        <f>IF(A392="","",MAX(0,MIN(C392,G392-SUM(H$2:H391))))</f>
        <v/>
      </c>
      <c r="I392">
        <f>IF(C392="","",C392-H392)</f>
        <v/>
      </c>
      <c r="J392">
        <f>IF(I392="","",I392*D392)</f>
        <v/>
      </c>
    </row>
    <row r="393">
      <c r="A393">
        <f>IFERROR(INDEX(SORT(FILTER(Transactions!$B:$B,(Transactions!$C:$C="Buy")*(Transactions!$B:$B&lt;&gt;"")),1,1),392),"")</f>
        <v/>
      </c>
      <c r="B393">
        <f>IF(A393="","",INDEX(SORT(FILTER(Transactions!$A:$G,(Transactions!$C:$C="Buy")*(Transactions!$B:$B&lt;&gt;"")),2,1),392,1))</f>
        <v/>
      </c>
      <c r="C393">
        <f>IF(A393="","",INDEX(SORT(FILTER(Transactions!$A:$G,(Transactions!$C:$C="Buy")*(Transactions!$B:$B&lt;&gt;"")),2,1),392,4))</f>
        <v/>
      </c>
      <c r="D393">
        <f>IF(A393="","",INDEX(SORT(FILTER(Transactions!$A:$G,(Transactions!$C:$C="Buy")*(Transactions!$B:$B&lt;&gt;"")),2,1),392,5))</f>
        <v/>
      </c>
      <c r="E393">
        <f>IF(C393="","",C393*D393)</f>
        <v/>
      </c>
      <c r="F393">
        <f>IF(A393="","",SUMIFS(C$2:C393,A$2:A393,A393,B$2:B393,"&lt;="&amp;B393))</f>
        <v/>
      </c>
      <c r="G393">
        <f>IF(A393="","",SUMIFS(Transactions!$D:$D,Transactions!$B:$B,A393,Transactions!$C:$C,"Sell"))</f>
        <v/>
      </c>
      <c r="H393">
        <f>IF(A393="","",MAX(0,MIN(C393,G393-SUM(H$2:H392))))</f>
        <v/>
      </c>
      <c r="I393">
        <f>IF(C393="","",C393-H393)</f>
        <v/>
      </c>
      <c r="J393">
        <f>IF(I393="","",I393*D393)</f>
        <v/>
      </c>
    </row>
    <row r="394">
      <c r="A394">
        <f>IFERROR(INDEX(SORT(FILTER(Transactions!$B:$B,(Transactions!$C:$C="Buy")*(Transactions!$B:$B&lt;&gt;"")),1,1),393),"")</f>
        <v/>
      </c>
      <c r="B394">
        <f>IF(A394="","",INDEX(SORT(FILTER(Transactions!$A:$G,(Transactions!$C:$C="Buy")*(Transactions!$B:$B&lt;&gt;"")),2,1),393,1))</f>
        <v/>
      </c>
      <c r="C394">
        <f>IF(A394="","",INDEX(SORT(FILTER(Transactions!$A:$G,(Transactions!$C:$C="Buy")*(Transactions!$B:$B&lt;&gt;"")),2,1),393,4))</f>
        <v/>
      </c>
      <c r="D394">
        <f>IF(A394="","",INDEX(SORT(FILTER(Transactions!$A:$G,(Transactions!$C:$C="Buy")*(Transactions!$B:$B&lt;&gt;"")),2,1),393,5))</f>
        <v/>
      </c>
      <c r="E394">
        <f>IF(C394="","",C394*D394)</f>
        <v/>
      </c>
      <c r="F394">
        <f>IF(A394="","",SUMIFS(C$2:C394,A$2:A394,A394,B$2:B394,"&lt;="&amp;B394))</f>
        <v/>
      </c>
      <c r="G394">
        <f>IF(A394="","",SUMIFS(Transactions!$D:$D,Transactions!$B:$B,A394,Transactions!$C:$C,"Sell"))</f>
        <v/>
      </c>
      <c r="H394">
        <f>IF(A394="","",MAX(0,MIN(C394,G394-SUM(H$2:H393))))</f>
        <v/>
      </c>
      <c r="I394">
        <f>IF(C394="","",C394-H394)</f>
        <v/>
      </c>
      <c r="J394">
        <f>IF(I394="","",I394*D394)</f>
        <v/>
      </c>
    </row>
    <row r="395">
      <c r="A395">
        <f>IFERROR(INDEX(SORT(FILTER(Transactions!$B:$B,(Transactions!$C:$C="Buy")*(Transactions!$B:$B&lt;&gt;"")),1,1),394),"")</f>
        <v/>
      </c>
      <c r="B395">
        <f>IF(A395="","",INDEX(SORT(FILTER(Transactions!$A:$G,(Transactions!$C:$C="Buy")*(Transactions!$B:$B&lt;&gt;"")),2,1),394,1))</f>
        <v/>
      </c>
      <c r="C395">
        <f>IF(A395="","",INDEX(SORT(FILTER(Transactions!$A:$G,(Transactions!$C:$C="Buy")*(Transactions!$B:$B&lt;&gt;"")),2,1),394,4))</f>
        <v/>
      </c>
      <c r="D395">
        <f>IF(A395="","",INDEX(SORT(FILTER(Transactions!$A:$G,(Transactions!$C:$C="Buy")*(Transactions!$B:$B&lt;&gt;"")),2,1),394,5))</f>
        <v/>
      </c>
      <c r="E395">
        <f>IF(C395="","",C395*D395)</f>
        <v/>
      </c>
      <c r="F395">
        <f>IF(A395="","",SUMIFS(C$2:C395,A$2:A395,A395,B$2:B395,"&lt;="&amp;B395))</f>
        <v/>
      </c>
      <c r="G395">
        <f>IF(A395="","",SUMIFS(Transactions!$D:$D,Transactions!$B:$B,A395,Transactions!$C:$C,"Sell"))</f>
        <v/>
      </c>
      <c r="H395">
        <f>IF(A395="","",MAX(0,MIN(C395,G395-SUM(H$2:H394))))</f>
        <v/>
      </c>
      <c r="I395">
        <f>IF(C395="","",C395-H395)</f>
        <v/>
      </c>
      <c r="J395">
        <f>IF(I395="","",I395*D395)</f>
        <v/>
      </c>
    </row>
    <row r="396">
      <c r="A396">
        <f>IFERROR(INDEX(SORT(FILTER(Transactions!$B:$B,(Transactions!$C:$C="Buy")*(Transactions!$B:$B&lt;&gt;"")),1,1),395),"")</f>
        <v/>
      </c>
      <c r="B396">
        <f>IF(A396="","",INDEX(SORT(FILTER(Transactions!$A:$G,(Transactions!$C:$C="Buy")*(Transactions!$B:$B&lt;&gt;"")),2,1),395,1))</f>
        <v/>
      </c>
      <c r="C396">
        <f>IF(A396="","",INDEX(SORT(FILTER(Transactions!$A:$G,(Transactions!$C:$C="Buy")*(Transactions!$B:$B&lt;&gt;"")),2,1),395,4))</f>
        <v/>
      </c>
      <c r="D396">
        <f>IF(A396="","",INDEX(SORT(FILTER(Transactions!$A:$G,(Transactions!$C:$C="Buy")*(Transactions!$B:$B&lt;&gt;"")),2,1),395,5))</f>
        <v/>
      </c>
      <c r="E396">
        <f>IF(C396="","",C396*D396)</f>
        <v/>
      </c>
      <c r="F396">
        <f>IF(A396="","",SUMIFS(C$2:C396,A$2:A396,A396,B$2:B396,"&lt;="&amp;B396))</f>
        <v/>
      </c>
      <c r="G396">
        <f>IF(A396="","",SUMIFS(Transactions!$D:$D,Transactions!$B:$B,A396,Transactions!$C:$C,"Sell"))</f>
        <v/>
      </c>
      <c r="H396">
        <f>IF(A396="","",MAX(0,MIN(C396,G396-SUM(H$2:H395))))</f>
        <v/>
      </c>
      <c r="I396">
        <f>IF(C396="","",C396-H396)</f>
        <v/>
      </c>
      <c r="J396">
        <f>IF(I396="","",I396*D396)</f>
        <v/>
      </c>
    </row>
    <row r="397">
      <c r="A397">
        <f>IFERROR(INDEX(SORT(FILTER(Transactions!$B:$B,(Transactions!$C:$C="Buy")*(Transactions!$B:$B&lt;&gt;"")),1,1),396),"")</f>
        <v/>
      </c>
      <c r="B397">
        <f>IF(A397="","",INDEX(SORT(FILTER(Transactions!$A:$G,(Transactions!$C:$C="Buy")*(Transactions!$B:$B&lt;&gt;"")),2,1),396,1))</f>
        <v/>
      </c>
      <c r="C397">
        <f>IF(A397="","",INDEX(SORT(FILTER(Transactions!$A:$G,(Transactions!$C:$C="Buy")*(Transactions!$B:$B&lt;&gt;"")),2,1),396,4))</f>
        <v/>
      </c>
      <c r="D397">
        <f>IF(A397="","",INDEX(SORT(FILTER(Transactions!$A:$G,(Transactions!$C:$C="Buy")*(Transactions!$B:$B&lt;&gt;"")),2,1),396,5))</f>
        <v/>
      </c>
      <c r="E397">
        <f>IF(C397="","",C397*D397)</f>
        <v/>
      </c>
      <c r="F397">
        <f>IF(A397="","",SUMIFS(C$2:C397,A$2:A397,A397,B$2:B397,"&lt;="&amp;B397))</f>
        <v/>
      </c>
      <c r="G397">
        <f>IF(A397="","",SUMIFS(Transactions!$D:$D,Transactions!$B:$B,A397,Transactions!$C:$C,"Sell"))</f>
        <v/>
      </c>
      <c r="H397">
        <f>IF(A397="","",MAX(0,MIN(C397,G397-SUM(H$2:H396))))</f>
        <v/>
      </c>
      <c r="I397">
        <f>IF(C397="","",C397-H397)</f>
        <v/>
      </c>
      <c r="J397">
        <f>IF(I397="","",I397*D397)</f>
        <v/>
      </c>
    </row>
    <row r="398">
      <c r="A398">
        <f>IFERROR(INDEX(SORT(FILTER(Transactions!$B:$B,(Transactions!$C:$C="Buy")*(Transactions!$B:$B&lt;&gt;"")),1,1),397),"")</f>
        <v/>
      </c>
      <c r="B398">
        <f>IF(A398="","",INDEX(SORT(FILTER(Transactions!$A:$G,(Transactions!$C:$C="Buy")*(Transactions!$B:$B&lt;&gt;"")),2,1),397,1))</f>
        <v/>
      </c>
      <c r="C398">
        <f>IF(A398="","",INDEX(SORT(FILTER(Transactions!$A:$G,(Transactions!$C:$C="Buy")*(Transactions!$B:$B&lt;&gt;"")),2,1),397,4))</f>
        <v/>
      </c>
      <c r="D398">
        <f>IF(A398="","",INDEX(SORT(FILTER(Transactions!$A:$G,(Transactions!$C:$C="Buy")*(Transactions!$B:$B&lt;&gt;"")),2,1),397,5))</f>
        <v/>
      </c>
      <c r="E398">
        <f>IF(C398="","",C398*D398)</f>
        <v/>
      </c>
      <c r="F398">
        <f>IF(A398="","",SUMIFS(C$2:C398,A$2:A398,A398,B$2:B398,"&lt;="&amp;B398))</f>
        <v/>
      </c>
      <c r="G398">
        <f>IF(A398="","",SUMIFS(Transactions!$D:$D,Transactions!$B:$B,A398,Transactions!$C:$C,"Sell"))</f>
        <v/>
      </c>
      <c r="H398">
        <f>IF(A398="","",MAX(0,MIN(C398,G398-SUM(H$2:H397))))</f>
        <v/>
      </c>
      <c r="I398">
        <f>IF(C398="","",C398-H398)</f>
        <v/>
      </c>
      <c r="J398">
        <f>IF(I398="","",I398*D398)</f>
        <v/>
      </c>
    </row>
    <row r="399">
      <c r="A399">
        <f>IFERROR(INDEX(SORT(FILTER(Transactions!$B:$B,(Transactions!$C:$C="Buy")*(Transactions!$B:$B&lt;&gt;"")),1,1),398),"")</f>
        <v/>
      </c>
      <c r="B399">
        <f>IF(A399="","",INDEX(SORT(FILTER(Transactions!$A:$G,(Transactions!$C:$C="Buy")*(Transactions!$B:$B&lt;&gt;"")),2,1),398,1))</f>
        <v/>
      </c>
      <c r="C399">
        <f>IF(A399="","",INDEX(SORT(FILTER(Transactions!$A:$G,(Transactions!$C:$C="Buy")*(Transactions!$B:$B&lt;&gt;"")),2,1),398,4))</f>
        <v/>
      </c>
      <c r="D399">
        <f>IF(A399="","",INDEX(SORT(FILTER(Transactions!$A:$G,(Transactions!$C:$C="Buy")*(Transactions!$B:$B&lt;&gt;"")),2,1),398,5))</f>
        <v/>
      </c>
      <c r="E399">
        <f>IF(C399="","",C399*D399)</f>
        <v/>
      </c>
      <c r="F399">
        <f>IF(A399="","",SUMIFS(C$2:C399,A$2:A399,A399,B$2:B399,"&lt;="&amp;B399))</f>
        <v/>
      </c>
      <c r="G399">
        <f>IF(A399="","",SUMIFS(Transactions!$D:$D,Transactions!$B:$B,A399,Transactions!$C:$C,"Sell"))</f>
        <v/>
      </c>
      <c r="H399">
        <f>IF(A399="","",MAX(0,MIN(C399,G399-SUM(H$2:H398))))</f>
        <v/>
      </c>
      <c r="I399">
        <f>IF(C399="","",C399-H399)</f>
        <v/>
      </c>
      <c r="J399">
        <f>IF(I399="","",I399*D399)</f>
        <v/>
      </c>
    </row>
    <row r="400">
      <c r="A400">
        <f>IFERROR(INDEX(SORT(FILTER(Transactions!$B:$B,(Transactions!$C:$C="Buy")*(Transactions!$B:$B&lt;&gt;"")),1,1),399),"")</f>
        <v/>
      </c>
      <c r="B400">
        <f>IF(A400="","",INDEX(SORT(FILTER(Transactions!$A:$G,(Transactions!$C:$C="Buy")*(Transactions!$B:$B&lt;&gt;"")),2,1),399,1))</f>
        <v/>
      </c>
      <c r="C400">
        <f>IF(A400="","",INDEX(SORT(FILTER(Transactions!$A:$G,(Transactions!$C:$C="Buy")*(Transactions!$B:$B&lt;&gt;"")),2,1),399,4))</f>
        <v/>
      </c>
      <c r="D400">
        <f>IF(A400="","",INDEX(SORT(FILTER(Transactions!$A:$G,(Transactions!$C:$C="Buy")*(Transactions!$B:$B&lt;&gt;"")),2,1),399,5))</f>
        <v/>
      </c>
      <c r="E400">
        <f>IF(C400="","",C400*D400)</f>
        <v/>
      </c>
      <c r="F400">
        <f>IF(A400="","",SUMIFS(C$2:C400,A$2:A400,A400,B$2:B400,"&lt;="&amp;B400))</f>
        <v/>
      </c>
      <c r="G400">
        <f>IF(A400="","",SUMIFS(Transactions!$D:$D,Transactions!$B:$B,A400,Transactions!$C:$C,"Sell"))</f>
        <v/>
      </c>
      <c r="H400">
        <f>IF(A400="","",MAX(0,MIN(C400,G400-SUM(H$2:H399))))</f>
        <v/>
      </c>
      <c r="I400">
        <f>IF(C400="","",C400-H400)</f>
        <v/>
      </c>
      <c r="J400">
        <f>IF(I400="","",I400*D400)</f>
        <v/>
      </c>
    </row>
    <row r="401">
      <c r="A401">
        <f>IFERROR(INDEX(SORT(FILTER(Transactions!$B:$B,(Transactions!$C:$C="Buy")*(Transactions!$B:$B&lt;&gt;"")),1,1),400),"")</f>
        <v/>
      </c>
      <c r="B401">
        <f>IF(A401="","",INDEX(SORT(FILTER(Transactions!$A:$G,(Transactions!$C:$C="Buy")*(Transactions!$B:$B&lt;&gt;"")),2,1),400,1))</f>
        <v/>
      </c>
      <c r="C401">
        <f>IF(A401="","",INDEX(SORT(FILTER(Transactions!$A:$G,(Transactions!$C:$C="Buy")*(Transactions!$B:$B&lt;&gt;"")),2,1),400,4))</f>
        <v/>
      </c>
      <c r="D401">
        <f>IF(A401="","",INDEX(SORT(FILTER(Transactions!$A:$G,(Transactions!$C:$C="Buy")*(Transactions!$B:$B&lt;&gt;"")),2,1),400,5))</f>
        <v/>
      </c>
      <c r="E401">
        <f>IF(C401="","",C401*D401)</f>
        <v/>
      </c>
      <c r="F401">
        <f>IF(A401="","",SUMIFS(C$2:C401,A$2:A401,A401,B$2:B401,"&lt;="&amp;B401))</f>
        <v/>
      </c>
      <c r="G401">
        <f>IF(A401="","",SUMIFS(Transactions!$D:$D,Transactions!$B:$B,A401,Transactions!$C:$C,"Sell"))</f>
        <v/>
      </c>
      <c r="H401">
        <f>IF(A401="","",MAX(0,MIN(C401,G401-SUM(H$2:H400))))</f>
        <v/>
      </c>
      <c r="I401">
        <f>IF(C401="","",C401-H401)</f>
        <v/>
      </c>
      <c r="J401">
        <f>IF(I401="","",I401*D401)</f>
        <v/>
      </c>
    </row>
    <row r="402">
      <c r="A402">
        <f>IFERROR(INDEX(SORT(FILTER(Transactions!$B:$B,(Transactions!$C:$C="Buy")*(Transactions!$B:$B&lt;&gt;"")),1,1),401),"")</f>
        <v/>
      </c>
      <c r="B402">
        <f>IF(A402="","",INDEX(SORT(FILTER(Transactions!$A:$G,(Transactions!$C:$C="Buy")*(Transactions!$B:$B&lt;&gt;"")),2,1),401,1))</f>
        <v/>
      </c>
      <c r="C402">
        <f>IF(A402="","",INDEX(SORT(FILTER(Transactions!$A:$G,(Transactions!$C:$C="Buy")*(Transactions!$B:$B&lt;&gt;"")),2,1),401,4))</f>
        <v/>
      </c>
      <c r="D402">
        <f>IF(A402="","",INDEX(SORT(FILTER(Transactions!$A:$G,(Transactions!$C:$C="Buy")*(Transactions!$B:$B&lt;&gt;"")),2,1),401,5))</f>
        <v/>
      </c>
      <c r="E402">
        <f>IF(C402="","",C402*D402)</f>
        <v/>
      </c>
      <c r="F402">
        <f>IF(A402="","",SUMIFS(C$2:C402,A$2:A402,A402,B$2:B402,"&lt;="&amp;B402))</f>
        <v/>
      </c>
      <c r="G402">
        <f>IF(A402="","",SUMIFS(Transactions!$D:$D,Transactions!$B:$B,A402,Transactions!$C:$C,"Sell"))</f>
        <v/>
      </c>
      <c r="H402">
        <f>IF(A402="","",MAX(0,MIN(C402,G402-SUM(H$2:H401))))</f>
        <v/>
      </c>
      <c r="I402">
        <f>IF(C402="","",C402-H402)</f>
        <v/>
      </c>
      <c r="J402">
        <f>IF(I402="","",I402*D402)</f>
        <v/>
      </c>
    </row>
    <row r="403">
      <c r="A403">
        <f>IFERROR(INDEX(SORT(FILTER(Transactions!$B:$B,(Transactions!$C:$C="Buy")*(Transactions!$B:$B&lt;&gt;"")),1,1),402),"")</f>
        <v/>
      </c>
      <c r="B403">
        <f>IF(A403="","",INDEX(SORT(FILTER(Transactions!$A:$G,(Transactions!$C:$C="Buy")*(Transactions!$B:$B&lt;&gt;"")),2,1),402,1))</f>
        <v/>
      </c>
      <c r="C403">
        <f>IF(A403="","",INDEX(SORT(FILTER(Transactions!$A:$G,(Transactions!$C:$C="Buy")*(Transactions!$B:$B&lt;&gt;"")),2,1),402,4))</f>
        <v/>
      </c>
      <c r="D403">
        <f>IF(A403="","",INDEX(SORT(FILTER(Transactions!$A:$G,(Transactions!$C:$C="Buy")*(Transactions!$B:$B&lt;&gt;"")),2,1),402,5))</f>
        <v/>
      </c>
      <c r="E403">
        <f>IF(C403="","",C403*D403)</f>
        <v/>
      </c>
      <c r="F403">
        <f>IF(A403="","",SUMIFS(C$2:C403,A$2:A403,A403,B$2:B403,"&lt;="&amp;B403))</f>
        <v/>
      </c>
      <c r="G403">
        <f>IF(A403="","",SUMIFS(Transactions!$D:$D,Transactions!$B:$B,A403,Transactions!$C:$C,"Sell"))</f>
        <v/>
      </c>
      <c r="H403">
        <f>IF(A403="","",MAX(0,MIN(C403,G403-SUM(H$2:H402))))</f>
        <v/>
      </c>
      <c r="I403">
        <f>IF(C403="","",C403-H403)</f>
        <v/>
      </c>
      <c r="J403">
        <f>IF(I403="","",I403*D403)</f>
        <v/>
      </c>
    </row>
    <row r="404">
      <c r="A404">
        <f>IFERROR(INDEX(SORT(FILTER(Transactions!$B:$B,(Transactions!$C:$C="Buy")*(Transactions!$B:$B&lt;&gt;"")),1,1),403),"")</f>
        <v/>
      </c>
      <c r="B404">
        <f>IF(A404="","",INDEX(SORT(FILTER(Transactions!$A:$G,(Transactions!$C:$C="Buy")*(Transactions!$B:$B&lt;&gt;"")),2,1),403,1))</f>
        <v/>
      </c>
      <c r="C404">
        <f>IF(A404="","",INDEX(SORT(FILTER(Transactions!$A:$G,(Transactions!$C:$C="Buy")*(Transactions!$B:$B&lt;&gt;"")),2,1),403,4))</f>
        <v/>
      </c>
      <c r="D404">
        <f>IF(A404="","",INDEX(SORT(FILTER(Transactions!$A:$G,(Transactions!$C:$C="Buy")*(Transactions!$B:$B&lt;&gt;"")),2,1),403,5))</f>
        <v/>
      </c>
      <c r="E404">
        <f>IF(C404="","",C404*D404)</f>
        <v/>
      </c>
      <c r="F404">
        <f>IF(A404="","",SUMIFS(C$2:C404,A$2:A404,A404,B$2:B404,"&lt;="&amp;B404))</f>
        <v/>
      </c>
      <c r="G404">
        <f>IF(A404="","",SUMIFS(Transactions!$D:$D,Transactions!$B:$B,A404,Transactions!$C:$C,"Sell"))</f>
        <v/>
      </c>
      <c r="H404">
        <f>IF(A404="","",MAX(0,MIN(C404,G404-SUM(H$2:H403))))</f>
        <v/>
      </c>
      <c r="I404">
        <f>IF(C404="","",C404-H404)</f>
        <v/>
      </c>
      <c r="J404">
        <f>IF(I404="","",I404*D404)</f>
        <v/>
      </c>
    </row>
    <row r="405">
      <c r="A405">
        <f>IFERROR(INDEX(SORT(FILTER(Transactions!$B:$B,(Transactions!$C:$C="Buy")*(Transactions!$B:$B&lt;&gt;"")),1,1),404),"")</f>
        <v/>
      </c>
      <c r="B405">
        <f>IF(A405="","",INDEX(SORT(FILTER(Transactions!$A:$G,(Transactions!$C:$C="Buy")*(Transactions!$B:$B&lt;&gt;"")),2,1),404,1))</f>
        <v/>
      </c>
      <c r="C405">
        <f>IF(A405="","",INDEX(SORT(FILTER(Transactions!$A:$G,(Transactions!$C:$C="Buy")*(Transactions!$B:$B&lt;&gt;"")),2,1),404,4))</f>
        <v/>
      </c>
      <c r="D405">
        <f>IF(A405="","",INDEX(SORT(FILTER(Transactions!$A:$G,(Transactions!$C:$C="Buy")*(Transactions!$B:$B&lt;&gt;"")),2,1),404,5))</f>
        <v/>
      </c>
      <c r="E405">
        <f>IF(C405="","",C405*D405)</f>
        <v/>
      </c>
      <c r="F405">
        <f>IF(A405="","",SUMIFS(C$2:C405,A$2:A405,A405,B$2:B405,"&lt;="&amp;B405))</f>
        <v/>
      </c>
      <c r="G405">
        <f>IF(A405="","",SUMIFS(Transactions!$D:$D,Transactions!$B:$B,A405,Transactions!$C:$C,"Sell"))</f>
        <v/>
      </c>
      <c r="H405">
        <f>IF(A405="","",MAX(0,MIN(C405,G405-SUM(H$2:H404))))</f>
        <v/>
      </c>
      <c r="I405">
        <f>IF(C405="","",C405-H405)</f>
        <v/>
      </c>
      <c r="J405">
        <f>IF(I405="","",I405*D405)</f>
        <v/>
      </c>
    </row>
    <row r="406">
      <c r="A406">
        <f>IFERROR(INDEX(SORT(FILTER(Transactions!$B:$B,(Transactions!$C:$C="Buy")*(Transactions!$B:$B&lt;&gt;"")),1,1),405),"")</f>
        <v/>
      </c>
      <c r="B406">
        <f>IF(A406="","",INDEX(SORT(FILTER(Transactions!$A:$G,(Transactions!$C:$C="Buy")*(Transactions!$B:$B&lt;&gt;"")),2,1),405,1))</f>
        <v/>
      </c>
      <c r="C406">
        <f>IF(A406="","",INDEX(SORT(FILTER(Transactions!$A:$G,(Transactions!$C:$C="Buy")*(Transactions!$B:$B&lt;&gt;"")),2,1),405,4))</f>
        <v/>
      </c>
      <c r="D406">
        <f>IF(A406="","",INDEX(SORT(FILTER(Transactions!$A:$G,(Transactions!$C:$C="Buy")*(Transactions!$B:$B&lt;&gt;"")),2,1),405,5))</f>
        <v/>
      </c>
      <c r="E406">
        <f>IF(C406="","",C406*D406)</f>
        <v/>
      </c>
      <c r="F406">
        <f>IF(A406="","",SUMIFS(C$2:C406,A$2:A406,A406,B$2:B406,"&lt;="&amp;B406))</f>
        <v/>
      </c>
      <c r="G406">
        <f>IF(A406="","",SUMIFS(Transactions!$D:$D,Transactions!$B:$B,A406,Transactions!$C:$C,"Sell"))</f>
        <v/>
      </c>
      <c r="H406">
        <f>IF(A406="","",MAX(0,MIN(C406,G406-SUM(H$2:H405))))</f>
        <v/>
      </c>
      <c r="I406">
        <f>IF(C406="","",C406-H406)</f>
        <v/>
      </c>
      <c r="J406">
        <f>IF(I406="","",I406*D406)</f>
        <v/>
      </c>
    </row>
    <row r="407">
      <c r="A407">
        <f>IFERROR(INDEX(SORT(FILTER(Transactions!$B:$B,(Transactions!$C:$C="Buy")*(Transactions!$B:$B&lt;&gt;"")),1,1),406),"")</f>
        <v/>
      </c>
      <c r="B407">
        <f>IF(A407="","",INDEX(SORT(FILTER(Transactions!$A:$G,(Transactions!$C:$C="Buy")*(Transactions!$B:$B&lt;&gt;"")),2,1),406,1))</f>
        <v/>
      </c>
      <c r="C407">
        <f>IF(A407="","",INDEX(SORT(FILTER(Transactions!$A:$G,(Transactions!$C:$C="Buy")*(Transactions!$B:$B&lt;&gt;"")),2,1),406,4))</f>
        <v/>
      </c>
      <c r="D407">
        <f>IF(A407="","",INDEX(SORT(FILTER(Transactions!$A:$G,(Transactions!$C:$C="Buy")*(Transactions!$B:$B&lt;&gt;"")),2,1),406,5))</f>
        <v/>
      </c>
      <c r="E407">
        <f>IF(C407="","",C407*D407)</f>
        <v/>
      </c>
      <c r="F407">
        <f>IF(A407="","",SUMIFS(C$2:C407,A$2:A407,A407,B$2:B407,"&lt;="&amp;B407))</f>
        <v/>
      </c>
      <c r="G407">
        <f>IF(A407="","",SUMIFS(Transactions!$D:$D,Transactions!$B:$B,A407,Transactions!$C:$C,"Sell"))</f>
        <v/>
      </c>
      <c r="H407">
        <f>IF(A407="","",MAX(0,MIN(C407,G407-SUM(H$2:H406))))</f>
        <v/>
      </c>
      <c r="I407">
        <f>IF(C407="","",C407-H407)</f>
        <v/>
      </c>
      <c r="J407">
        <f>IF(I407="","",I407*D407)</f>
        <v/>
      </c>
    </row>
    <row r="408">
      <c r="A408">
        <f>IFERROR(INDEX(SORT(FILTER(Transactions!$B:$B,(Transactions!$C:$C="Buy")*(Transactions!$B:$B&lt;&gt;"")),1,1),407),"")</f>
        <v/>
      </c>
      <c r="B408">
        <f>IF(A408="","",INDEX(SORT(FILTER(Transactions!$A:$G,(Transactions!$C:$C="Buy")*(Transactions!$B:$B&lt;&gt;"")),2,1),407,1))</f>
        <v/>
      </c>
      <c r="C408">
        <f>IF(A408="","",INDEX(SORT(FILTER(Transactions!$A:$G,(Transactions!$C:$C="Buy")*(Transactions!$B:$B&lt;&gt;"")),2,1),407,4))</f>
        <v/>
      </c>
      <c r="D408">
        <f>IF(A408="","",INDEX(SORT(FILTER(Transactions!$A:$G,(Transactions!$C:$C="Buy")*(Transactions!$B:$B&lt;&gt;"")),2,1),407,5))</f>
        <v/>
      </c>
      <c r="E408">
        <f>IF(C408="","",C408*D408)</f>
        <v/>
      </c>
      <c r="F408">
        <f>IF(A408="","",SUMIFS(C$2:C408,A$2:A408,A408,B$2:B408,"&lt;="&amp;B408))</f>
        <v/>
      </c>
      <c r="G408">
        <f>IF(A408="","",SUMIFS(Transactions!$D:$D,Transactions!$B:$B,A408,Transactions!$C:$C,"Sell"))</f>
        <v/>
      </c>
      <c r="H408">
        <f>IF(A408="","",MAX(0,MIN(C408,G408-SUM(H$2:H407))))</f>
        <v/>
      </c>
      <c r="I408">
        <f>IF(C408="","",C408-H408)</f>
        <v/>
      </c>
      <c r="J408">
        <f>IF(I408="","",I408*D408)</f>
        <v/>
      </c>
    </row>
    <row r="409">
      <c r="A409">
        <f>IFERROR(INDEX(SORT(FILTER(Transactions!$B:$B,(Transactions!$C:$C="Buy")*(Transactions!$B:$B&lt;&gt;"")),1,1),408),"")</f>
        <v/>
      </c>
      <c r="B409">
        <f>IF(A409="","",INDEX(SORT(FILTER(Transactions!$A:$G,(Transactions!$C:$C="Buy")*(Transactions!$B:$B&lt;&gt;"")),2,1),408,1))</f>
        <v/>
      </c>
      <c r="C409">
        <f>IF(A409="","",INDEX(SORT(FILTER(Transactions!$A:$G,(Transactions!$C:$C="Buy")*(Transactions!$B:$B&lt;&gt;"")),2,1),408,4))</f>
        <v/>
      </c>
      <c r="D409">
        <f>IF(A409="","",INDEX(SORT(FILTER(Transactions!$A:$G,(Transactions!$C:$C="Buy")*(Transactions!$B:$B&lt;&gt;"")),2,1),408,5))</f>
        <v/>
      </c>
      <c r="E409">
        <f>IF(C409="","",C409*D409)</f>
        <v/>
      </c>
      <c r="F409">
        <f>IF(A409="","",SUMIFS(C$2:C409,A$2:A409,A409,B$2:B409,"&lt;="&amp;B409))</f>
        <v/>
      </c>
      <c r="G409">
        <f>IF(A409="","",SUMIFS(Transactions!$D:$D,Transactions!$B:$B,A409,Transactions!$C:$C,"Sell"))</f>
        <v/>
      </c>
      <c r="H409">
        <f>IF(A409="","",MAX(0,MIN(C409,G409-SUM(H$2:H408))))</f>
        <v/>
      </c>
      <c r="I409">
        <f>IF(C409="","",C409-H409)</f>
        <v/>
      </c>
      <c r="J409">
        <f>IF(I409="","",I409*D409)</f>
        <v/>
      </c>
    </row>
    <row r="410">
      <c r="A410">
        <f>IFERROR(INDEX(SORT(FILTER(Transactions!$B:$B,(Transactions!$C:$C="Buy")*(Transactions!$B:$B&lt;&gt;"")),1,1),409),"")</f>
        <v/>
      </c>
      <c r="B410">
        <f>IF(A410="","",INDEX(SORT(FILTER(Transactions!$A:$G,(Transactions!$C:$C="Buy")*(Transactions!$B:$B&lt;&gt;"")),2,1),409,1))</f>
        <v/>
      </c>
      <c r="C410">
        <f>IF(A410="","",INDEX(SORT(FILTER(Transactions!$A:$G,(Transactions!$C:$C="Buy")*(Transactions!$B:$B&lt;&gt;"")),2,1),409,4))</f>
        <v/>
      </c>
      <c r="D410">
        <f>IF(A410="","",INDEX(SORT(FILTER(Transactions!$A:$G,(Transactions!$C:$C="Buy")*(Transactions!$B:$B&lt;&gt;"")),2,1),409,5))</f>
        <v/>
      </c>
      <c r="E410">
        <f>IF(C410="","",C410*D410)</f>
        <v/>
      </c>
      <c r="F410">
        <f>IF(A410="","",SUMIFS(C$2:C410,A$2:A410,A410,B$2:B410,"&lt;="&amp;B410))</f>
        <v/>
      </c>
      <c r="G410">
        <f>IF(A410="","",SUMIFS(Transactions!$D:$D,Transactions!$B:$B,A410,Transactions!$C:$C,"Sell"))</f>
        <v/>
      </c>
      <c r="H410">
        <f>IF(A410="","",MAX(0,MIN(C410,G410-SUM(H$2:H409))))</f>
        <v/>
      </c>
      <c r="I410">
        <f>IF(C410="","",C410-H410)</f>
        <v/>
      </c>
      <c r="J410">
        <f>IF(I410="","",I410*D410)</f>
        <v/>
      </c>
    </row>
    <row r="411">
      <c r="A411">
        <f>IFERROR(INDEX(SORT(FILTER(Transactions!$B:$B,(Transactions!$C:$C="Buy")*(Transactions!$B:$B&lt;&gt;"")),1,1),410),"")</f>
        <v/>
      </c>
      <c r="B411">
        <f>IF(A411="","",INDEX(SORT(FILTER(Transactions!$A:$G,(Transactions!$C:$C="Buy")*(Transactions!$B:$B&lt;&gt;"")),2,1),410,1))</f>
        <v/>
      </c>
      <c r="C411">
        <f>IF(A411="","",INDEX(SORT(FILTER(Transactions!$A:$G,(Transactions!$C:$C="Buy")*(Transactions!$B:$B&lt;&gt;"")),2,1),410,4))</f>
        <v/>
      </c>
      <c r="D411">
        <f>IF(A411="","",INDEX(SORT(FILTER(Transactions!$A:$G,(Transactions!$C:$C="Buy")*(Transactions!$B:$B&lt;&gt;"")),2,1),410,5))</f>
        <v/>
      </c>
      <c r="E411">
        <f>IF(C411="","",C411*D411)</f>
        <v/>
      </c>
      <c r="F411">
        <f>IF(A411="","",SUMIFS(C$2:C411,A$2:A411,A411,B$2:B411,"&lt;="&amp;B411))</f>
        <v/>
      </c>
      <c r="G411">
        <f>IF(A411="","",SUMIFS(Transactions!$D:$D,Transactions!$B:$B,A411,Transactions!$C:$C,"Sell"))</f>
        <v/>
      </c>
      <c r="H411">
        <f>IF(A411="","",MAX(0,MIN(C411,G411-SUM(H$2:H410))))</f>
        <v/>
      </c>
      <c r="I411">
        <f>IF(C411="","",C411-H411)</f>
        <v/>
      </c>
      <c r="J411">
        <f>IF(I411="","",I411*D411)</f>
        <v/>
      </c>
    </row>
    <row r="412">
      <c r="A412">
        <f>IFERROR(INDEX(SORT(FILTER(Transactions!$B:$B,(Transactions!$C:$C="Buy")*(Transactions!$B:$B&lt;&gt;"")),1,1),411),"")</f>
        <v/>
      </c>
      <c r="B412">
        <f>IF(A412="","",INDEX(SORT(FILTER(Transactions!$A:$G,(Transactions!$C:$C="Buy")*(Transactions!$B:$B&lt;&gt;"")),2,1),411,1))</f>
        <v/>
      </c>
      <c r="C412">
        <f>IF(A412="","",INDEX(SORT(FILTER(Transactions!$A:$G,(Transactions!$C:$C="Buy")*(Transactions!$B:$B&lt;&gt;"")),2,1),411,4))</f>
        <v/>
      </c>
      <c r="D412">
        <f>IF(A412="","",INDEX(SORT(FILTER(Transactions!$A:$G,(Transactions!$C:$C="Buy")*(Transactions!$B:$B&lt;&gt;"")),2,1),411,5))</f>
        <v/>
      </c>
      <c r="E412">
        <f>IF(C412="","",C412*D412)</f>
        <v/>
      </c>
      <c r="F412">
        <f>IF(A412="","",SUMIFS(C$2:C412,A$2:A412,A412,B$2:B412,"&lt;="&amp;B412))</f>
        <v/>
      </c>
      <c r="G412">
        <f>IF(A412="","",SUMIFS(Transactions!$D:$D,Transactions!$B:$B,A412,Transactions!$C:$C,"Sell"))</f>
        <v/>
      </c>
      <c r="H412">
        <f>IF(A412="","",MAX(0,MIN(C412,G412-SUM(H$2:H411))))</f>
        <v/>
      </c>
      <c r="I412">
        <f>IF(C412="","",C412-H412)</f>
        <v/>
      </c>
      <c r="J412">
        <f>IF(I412="","",I412*D412)</f>
        <v/>
      </c>
    </row>
    <row r="413">
      <c r="A413">
        <f>IFERROR(INDEX(SORT(FILTER(Transactions!$B:$B,(Transactions!$C:$C="Buy")*(Transactions!$B:$B&lt;&gt;"")),1,1),412),"")</f>
        <v/>
      </c>
      <c r="B413">
        <f>IF(A413="","",INDEX(SORT(FILTER(Transactions!$A:$G,(Transactions!$C:$C="Buy")*(Transactions!$B:$B&lt;&gt;"")),2,1),412,1))</f>
        <v/>
      </c>
      <c r="C413">
        <f>IF(A413="","",INDEX(SORT(FILTER(Transactions!$A:$G,(Transactions!$C:$C="Buy")*(Transactions!$B:$B&lt;&gt;"")),2,1),412,4))</f>
        <v/>
      </c>
      <c r="D413">
        <f>IF(A413="","",INDEX(SORT(FILTER(Transactions!$A:$G,(Transactions!$C:$C="Buy")*(Transactions!$B:$B&lt;&gt;"")),2,1),412,5))</f>
        <v/>
      </c>
      <c r="E413">
        <f>IF(C413="","",C413*D413)</f>
        <v/>
      </c>
      <c r="F413">
        <f>IF(A413="","",SUMIFS(C$2:C413,A$2:A413,A413,B$2:B413,"&lt;="&amp;B413))</f>
        <v/>
      </c>
      <c r="G413">
        <f>IF(A413="","",SUMIFS(Transactions!$D:$D,Transactions!$B:$B,A413,Transactions!$C:$C,"Sell"))</f>
        <v/>
      </c>
      <c r="H413">
        <f>IF(A413="","",MAX(0,MIN(C413,G413-SUM(H$2:H412))))</f>
        <v/>
      </c>
      <c r="I413">
        <f>IF(C413="","",C413-H413)</f>
        <v/>
      </c>
      <c r="J413">
        <f>IF(I413="","",I413*D413)</f>
        <v/>
      </c>
    </row>
    <row r="414">
      <c r="A414">
        <f>IFERROR(INDEX(SORT(FILTER(Transactions!$B:$B,(Transactions!$C:$C="Buy")*(Transactions!$B:$B&lt;&gt;"")),1,1),413),"")</f>
        <v/>
      </c>
      <c r="B414">
        <f>IF(A414="","",INDEX(SORT(FILTER(Transactions!$A:$G,(Transactions!$C:$C="Buy")*(Transactions!$B:$B&lt;&gt;"")),2,1),413,1))</f>
        <v/>
      </c>
      <c r="C414">
        <f>IF(A414="","",INDEX(SORT(FILTER(Transactions!$A:$G,(Transactions!$C:$C="Buy")*(Transactions!$B:$B&lt;&gt;"")),2,1),413,4))</f>
        <v/>
      </c>
      <c r="D414">
        <f>IF(A414="","",INDEX(SORT(FILTER(Transactions!$A:$G,(Transactions!$C:$C="Buy")*(Transactions!$B:$B&lt;&gt;"")),2,1),413,5))</f>
        <v/>
      </c>
      <c r="E414">
        <f>IF(C414="","",C414*D414)</f>
        <v/>
      </c>
      <c r="F414">
        <f>IF(A414="","",SUMIFS(C$2:C414,A$2:A414,A414,B$2:B414,"&lt;="&amp;B414))</f>
        <v/>
      </c>
      <c r="G414">
        <f>IF(A414="","",SUMIFS(Transactions!$D:$D,Transactions!$B:$B,A414,Transactions!$C:$C,"Sell"))</f>
        <v/>
      </c>
      <c r="H414">
        <f>IF(A414="","",MAX(0,MIN(C414,G414-SUM(H$2:H413))))</f>
        <v/>
      </c>
      <c r="I414">
        <f>IF(C414="","",C414-H414)</f>
        <v/>
      </c>
      <c r="J414">
        <f>IF(I414="","",I414*D414)</f>
        <v/>
      </c>
    </row>
    <row r="415">
      <c r="A415">
        <f>IFERROR(INDEX(SORT(FILTER(Transactions!$B:$B,(Transactions!$C:$C="Buy")*(Transactions!$B:$B&lt;&gt;"")),1,1),414),"")</f>
        <v/>
      </c>
      <c r="B415">
        <f>IF(A415="","",INDEX(SORT(FILTER(Transactions!$A:$G,(Transactions!$C:$C="Buy")*(Transactions!$B:$B&lt;&gt;"")),2,1),414,1))</f>
        <v/>
      </c>
      <c r="C415">
        <f>IF(A415="","",INDEX(SORT(FILTER(Transactions!$A:$G,(Transactions!$C:$C="Buy")*(Transactions!$B:$B&lt;&gt;"")),2,1),414,4))</f>
        <v/>
      </c>
      <c r="D415">
        <f>IF(A415="","",INDEX(SORT(FILTER(Transactions!$A:$G,(Transactions!$C:$C="Buy")*(Transactions!$B:$B&lt;&gt;"")),2,1),414,5))</f>
        <v/>
      </c>
      <c r="E415">
        <f>IF(C415="","",C415*D415)</f>
        <v/>
      </c>
      <c r="F415">
        <f>IF(A415="","",SUMIFS(C$2:C415,A$2:A415,A415,B$2:B415,"&lt;="&amp;B415))</f>
        <v/>
      </c>
      <c r="G415">
        <f>IF(A415="","",SUMIFS(Transactions!$D:$D,Transactions!$B:$B,A415,Transactions!$C:$C,"Sell"))</f>
        <v/>
      </c>
      <c r="H415">
        <f>IF(A415="","",MAX(0,MIN(C415,G415-SUM(H$2:H414))))</f>
        <v/>
      </c>
      <c r="I415">
        <f>IF(C415="","",C415-H415)</f>
        <v/>
      </c>
      <c r="J415">
        <f>IF(I415="","",I415*D415)</f>
        <v/>
      </c>
    </row>
    <row r="416">
      <c r="A416">
        <f>IFERROR(INDEX(SORT(FILTER(Transactions!$B:$B,(Transactions!$C:$C="Buy")*(Transactions!$B:$B&lt;&gt;"")),1,1),415),"")</f>
        <v/>
      </c>
      <c r="B416">
        <f>IF(A416="","",INDEX(SORT(FILTER(Transactions!$A:$G,(Transactions!$C:$C="Buy")*(Transactions!$B:$B&lt;&gt;"")),2,1),415,1))</f>
        <v/>
      </c>
      <c r="C416">
        <f>IF(A416="","",INDEX(SORT(FILTER(Transactions!$A:$G,(Transactions!$C:$C="Buy")*(Transactions!$B:$B&lt;&gt;"")),2,1),415,4))</f>
        <v/>
      </c>
      <c r="D416">
        <f>IF(A416="","",INDEX(SORT(FILTER(Transactions!$A:$G,(Transactions!$C:$C="Buy")*(Transactions!$B:$B&lt;&gt;"")),2,1),415,5))</f>
        <v/>
      </c>
      <c r="E416">
        <f>IF(C416="","",C416*D416)</f>
        <v/>
      </c>
      <c r="F416">
        <f>IF(A416="","",SUMIFS(C$2:C416,A$2:A416,A416,B$2:B416,"&lt;="&amp;B416))</f>
        <v/>
      </c>
      <c r="G416">
        <f>IF(A416="","",SUMIFS(Transactions!$D:$D,Transactions!$B:$B,A416,Transactions!$C:$C,"Sell"))</f>
        <v/>
      </c>
      <c r="H416">
        <f>IF(A416="","",MAX(0,MIN(C416,G416-SUM(H$2:H415))))</f>
        <v/>
      </c>
      <c r="I416">
        <f>IF(C416="","",C416-H416)</f>
        <v/>
      </c>
      <c r="J416">
        <f>IF(I416="","",I416*D416)</f>
        <v/>
      </c>
    </row>
    <row r="417">
      <c r="A417">
        <f>IFERROR(INDEX(SORT(FILTER(Transactions!$B:$B,(Transactions!$C:$C="Buy")*(Transactions!$B:$B&lt;&gt;"")),1,1),416),"")</f>
        <v/>
      </c>
      <c r="B417">
        <f>IF(A417="","",INDEX(SORT(FILTER(Transactions!$A:$G,(Transactions!$C:$C="Buy")*(Transactions!$B:$B&lt;&gt;"")),2,1),416,1))</f>
        <v/>
      </c>
      <c r="C417">
        <f>IF(A417="","",INDEX(SORT(FILTER(Transactions!$A:$G,(Transactions!$C:$C="Buy")*(Transactions!$B:$B&lt;&gt;"")),2,1),416,4))</f>
        <v/>
      </c>
      <c r="D417">
        <f>IF(A417="","",INDEX(SORT(FILTER(Transactions!$A:$G,(Transactions!$C:$C="Buy")*(Transactions!$B:$B&lt;&gt;"")),2,1),416,5))</f>
        <v/>
      </c>
      <c r="E417">
        <f>IF(C417="","",C417*D417)</f>
        <v/>
      </c>
      <c r="F417">
        <f>IF(A417="","",SUMIFS(C$2:C417,A$2:A417,A417,B$2:B417,"&lt;="&amp;B417))</f>
        <v/>
      </c>
      <c r="G417">
        <f>IF(A417="","",SUMIFS(Transactions!$D:$D,Transactions!$B:$B,A417,Transactions!$C:$C,"Sell"))</f>
        <v/>
      </c>
      <c r="H417">
        <f>IF(A417="","",MAX(0,MIN(C417,G417-SUM(H$2:H416))))</f>
        <v/>
      </c>
      <c r="I417">
        <f>IF(C417="","",C417-H417)</f>
        <v/>
      </c>
      <c r="J417">
        <f>IF(I417="","",I417*D417)</f>
        <v/>
      </c>
    </row>
    <row r="418">
      <c r="A418">
        <f>IFERROR(INDEX(SORT(FILTER(Transactions!$B:$B,(Transactions!$C:$C="Buy")*(Transactions!$B:$B&lt;&gt;"")),1,1),417),"")</f>
        <v/>
      </c>
      <c r="B418">
        <f>IF(A418="","",INDEX(SORT(FILTER(Transactions!$A:$G,(Transactions!$C:$C="Buy")*(Transactions!$B:$B&lt;&gt;"")),2,1),417,1))</f>
        <v/>
      </c>
      <c r="C418">
        <f>IF(A418="","",INDEX(SORT(FILTER(Transactions!$A:$G,(Transactions!$C:$C="Buy")*(Transactions!$B:$B&lt;&gt;"")),2,1),417,4))</f>
        <v/>
      </c>
      <c r="D418">
        <f>IF(A418="","",INDEX(SORT(FILTER(Transactions!$A:$G,(Transactions!$C:$C="Buy")*(Transactions!$B:$B&lt;&gt;"")),2,1),417,5))</f>
        <v/>
      </c>
      <c r="E418">
        <f>IF(C418="","",C418*D418)</f>
        <v/>
      </c>
      <c r="F418">
        <f>IF(A418="","",SUMIFS(C$2:C418,A$2:A418,A418,B$2:B418,"&lt;="&amp;B418))</f>
        <v/>
      </c>
      <c r="G418">
        <f>IF(A418="","",SUMIFS(Transactions!$D:$D,Transactions!$B:$B,A418,Transactions!$C:$C,"Sell"))</f>
        <v/>
      </c>
      <c r="H418">
        <f>IF(A418="","",MAX(0,MIN(C418,G418-SUM(H$2:H417))))</f>
        <v/>
      </c>
      <c r="I418">
        <f>IF(C418="","",C418-H418)</f>
        <v/>
      </c>
      <c r="J418">
        <f>IF(I418="","",I418*D418)</f>
        <v/>
      </c>
    </row>
    <row r="419">
      <c r="A419">
        <f>IFERROR(INDEX(SORT(FILTER(Transactions!$B:$B,(Transactions!$C:$C="Buy")*(Transactions!$B:$B&lt;&gt;"")),1,1),418),"")</f>
        <v/>
      </c>
      <c r="B419">
        <f>IF(A419="","",INDEX(SORT(FILTER(Transactions!$A:$G,(Transactions!$C:$C="Buy")*(Transactions!$B:$B&lt;&gt;"")),2,1),418,1))</f>
        <v/>
      </c>
      <c r="C419">
        <f>IF(A419="","",INDEX(SORT(FILTER(Transactions!$A:$G,(Transactions!$C:$C="Buy")*(Transactions!$B:$B&lt;&gt;"")),2,1),418,4))</f>
        <v/>
      </c>
      <c r="D419">
        <f>IF(A419="","",INDEX(SORT(FILTER(Transactions!$A:$G,(Transactions!$C:$C="Buy")*(Transactions!$B:$B&lt;&gt;"")),2,1),418,5))</f>
        <v/>
      </c>
      <c r="E419">
        <f>IF(C419="","",C419*D419)</f>
        <v/>
      </c>
      <c r="F419">
        <f>IF(A419="","",SUMIFS(C$2:C419,A$2:A419,A419,B$2:B419,"&lt;="&amp;B419))</f>
        <v/>
      </c>
      <c r="G419">
        <f>IF(A419="","",SUMIFS(Transactions!$D:$D,Transactions!$B:$B,A419,Transactions!$C:$C,"Sell"))</f>
        <v/>
      </c>
      <c r="H419">
        <f>IF(A419="","",MAX(0,MIN(C419,G419-SUM(H$2:H418))))</f>
        <v/>
      </c>
      <c r="I419">
        <f>IF(C419="","",C419-H419)</f>
        <v/>
      </c>
      <c r="J419">
        <f>IF(I419="","",I419*D419)</f>
        <v/>
      </c>
    </row>
    <row r="420">
      <c r="A420">
        <f>IFERROR(INDEX(SORT(FILTER(Transactions!$B:$B,(Transactions!$C:$C="Buy")*(Transactions!$B:$B&lt;&gt;"")),1,1),419),"")</f>
        <v/>
      </c>
      <c r="B420">
        <f>IF(A420="","",INDEX(SORT(FILTER(Transactions!$A:$G,(Transactions!$C:$C="Buy")*(Transactions!$B:$B&lt;&gt;"")),2,1),419,1))</f>
        <v/>
      </c>
      <c r="C420">
        <f>IF(A420="","",INDEX(SORT(FILTER(Transactions!$A:$G,(Transactions!$C:$C="Buy")*(Transactions!$B:$B&lt;&gt;"")),2,1),419,4))</f>
        <v/>
      </c>
      <c r="D420">
        <f>IF(A420="","",INDEX(SORT(FILTER(Transactions!$A:$G,(Transactions!$C:$C="Buy")*(Transactions!$B:$B&lt;&gt;"")),2,1),419,5))</f>
        <v/>
      </c>
      <c r="E420">
        <f>IF(C420="","",C420*D420)</f>
        <v/>
      </c>
      <c r="F420">
        <f>IF(A420="","",SUMIFS(C$2:C420,A$2:A420,A420,B$2:B420,"&lt;="&amp;B420))</f>
        <v/>
      </c>
      <c r="G420">
        <f>IF(A420="","",SUMIFS(Transactions!$D:$D,Transactions!$B:$B,A420,Transactions!$C:$C,"Sell"))</f>
        <v/>
      </c>
      <c r="H420">
        <f>IF(A420="","",MAX(0,MIN(C420,G420-SUM(H$2:H419))))</f>
        <v/>
      </c>
      <c r="I420">
        <f>IF(C420="","",C420-H420)</f>
        <v/>
      </c>
      <c r="J420">
        <f>IF(I420="","",I420*D420)</f>
        <v/>
      </c>
    </row>
    <row r="421">
      <c r="A421">
        <f>IFERROR(INDEX(SORT(FILTER(Transactions!$B:$B,(Transactions!$C:$C="Buy")*(Transactions!$B:$B&lt;&gt;"")),1,1),420),"")</f>
        <v/>
      </c>
      <c r="B421">
        <f>IF(A421="","",INDEX(SORT(FILTER(Transactions!$A:$G,(Transactions!$C:$C="Buy")*(Transactions!$B:$B&lt;&gt;"")),2,1),420,1))</f>
        <v/>
      </c>
      <c r="C421">
        <f>IF(A421="","",INDEX(SORT(FILTER(Transactions!$A:$G,(Transactions!$C:$C="Buy")*(Transactions!$B:$B&lt;&gt;"")),2,1),420,4))</f>
        <v/>
      </c>
      <c r="D421">
        <f>IF(A421="","",INDEX(SORT(FILTER(Transactions!$A:$G,(Transactions!$C:$C="Buy")*(Transactions!$B:$B&lt;&gt;"")),2,1),420,5))</f>
        <v/>
      </c>
      <c r="E421">
        <f>IF(C421="","",C421*D421)</f>
        <v/>
      </c>
      <c r="F421">
        <f>IF(A421="","",SUMIFS(C$2:C421,A$2:A421,A421,B$2:B421,"&lt;="&amp;B421))</f>
        <v/>
      </c>
      <c r="G421">
        <f>IF(A421="","",SUMIFS(Transactions!$D:$D,Transactions!$B:$B,A421,Transactions!$C:$C,"Sell"))</f>
        <v/>
      </c>
      <c r="H421">
        <f>IF(A421="","",MAX(0,MIN(C421,G421-SUM(H$2:H420))))</f>
        <v/>
      </c>
      <c r="I421">
        <f>IF(C421="","",C421-H421)</f>
        <v/>
      </c>
      <c r="J421">
        <f>IF(I421="","",I421*D421)</f>
        <v/>
      </c>
    </row>
    <row r="422">
      <c r="A422">
        <f>IFERROR(INDEX(SORT(FILTER(Transactions!$B:$B,(Transactions!$C:$C="Buy")*(Transactions!$B:$B&lt;&gt;"")),1,1),421),"")</f>
        <v/>
      </c>
      <c r="B422">
        <f>IF(A422="","",INDEX(SORT(FILTER(Transactions!$A:$G,(Transactions!$C:$C="Buy")*(Transactions!$B:$B&lt;&gt;"")),2,1),421,1))</f>
        <v/>
      </c>
      <c r="C422">
        <f>IF(A422="","",INDEX(SORT(FILTER(Transactions!$A:$G,(Transactions!$C:$C="Buy")*(Transactions!$B:$B&lt;&gt;"")),2,1),421,4))</f>
        <v/>
      </c>
      <c r="D422">
        <f>IF(A422="","",INDEX(SORT(FILTER(Transactions!$A:$G,(Transactions!$C:$C="Buy")*(Transactions!$B:$B&lt;&gt;"")),2,1),421,5))</f>
        <v/>
      </c>
      <c r="E422">
        <f>IF(C422="","",C422*D422)</f>
        <v/>
      </c>
      <c r="F422">
        <f>IF(A422="","",SUMIFS(C$2:C422,A$2:A422,A422,B$2:B422,"&lt;="&amp;B422))</f>
        <v/>
      </c>
      <c r="G422">
        <f>IF(A422="","",SUMIFS(Transactions!$D:$D,Transactions!$B:$B,A422,Transactions!$C:$C,"Sell"))</f>
        <v/>
      </c>
      <c r="H422">
        <f>IF(A422="","",MAX(0,MIN(C422,G422-SUM(H$2:H421))))</f>
        <v/>
      </c>
      <c r="I422">
        <f>IF(C422="","",C422-H422)</f>
        <v/>
      </c>
      <c r="J422">
        <f>IF(I422="","",I422*D422)</f>
        <v/>
      </c>
    </row>
    <row r="423">
      <c r="A423">
        <f>IFERROR(INDEX(SORT(FILTER(Transactions!$B:$B,(Transactions!$C:$C="Buy")*(Transactions!$B:$B&lt;&gt;"")),1,1),422),"")</f>
        <v/>
      </c>
      <c r="B423">
        <f>IF(A423="","",INDEX(SORT(FILTER(Transactions!$A:$G,(Transactions!$C:$C="Buy")*(Transactions!$B:$B&lt;&gt;"")),2,1),422,1))</f>
        <v/>
      </c>
      <c r="C423">
        <f>IF(A423="","",INDEX(SORT(FILTER(Transactions!$A:$G,(Transactions!$C:$C="Buy")*(Transactions!$B:$B&lt;&gt;"")),2,1),422,4))</f>
        <v/>
      </c>
      <c r="D423">
        <f>IF(A423="","",INDEX(SORT(FILTER(Transactions!$A:$G,(Transactions!$C:$C="Buy")*(Transactions!$B:$B&lt;&gt;"")),2,1),422,5))</f>
        <v/>
      </c>
      <c r="E423">
        <f>IF(C423="","",C423*D423)</f>
        <v/>
      </c>
      <c r="F423">
        <f>IF(A423="","",SUMIFS(C$2:C423,A$2:A423,A423,B$2:B423,"&lt;="&amp;B423))</f>
        <v/>
      </c>
      <c r="G423">
        <f>IF(A423="","",SUMIFS(Transactions!$D:$D,Transactions!$B:$B,A423,Transactions!$C:$C,"Sell"))</f>
        <v/>
      </c>
      <c r="H423">
        <f>IF(A423="","",MAX(0,MIN(C423,G423-SUM(H$2:H422))))</f>
        <v/>
      </c>
      <c r="I423">
        <f>IF(C423="","",C423-H423)</f>
        <v/>
      </c>
      <c r="J423">
        <f>IF(I423="","",I423*D423)</f>
        <v/>
      </c>
    </row>
    <row r="424">
      <c r="A424">
        <f>IFERROR(INDEX(SORT(FILTER(Transactions!$B:$B,(Transactions!$C:$C="Buy")*(Transactions!$B:$B&lt;&gt;"")),1,1),423),"")</f>
        <v/>
      </c>
      <c r="B424">
        <f>IF(A424="","",INDEX(SORT(FILTER(Transactions!$A:$G,(Transactions!$C:$C="Buy")*(Transactions!$B:$B&lt;&gt;"")),2,1),423,1))</f>
        <v/>
      </c>
      <c r="C424">
        <f>IF(A424="","",INDEX(SORT(FILTER(Transactions!$A:$G,(Transactions!$C:$C="Buy")*(Transactions!$B:$B&lt;&gt;"")),2,1),423,4))</f>
        <v/>
      </c>
      <c r="D424">
        <f>IF(A424="","",INDEX(SORT(FILTER(Transactions!$A:$G,(Transactions!$C:$C="Buy")*(Transactions!$B:$B&lt;&gt;"")),2,1),423,5))</f>
        <v/>
      </c>
      <c r="E424">
        <f>IF(C424="","",C424*D424)</f>
        <v/>
      </c>
      <c r="F424">
        <f>IF(A424="","",SUMIFS(C$2:C424,A$2:A424,A424,B$2:B424,"&lt;="&amp;B424))</f>
        <v/>
      </c>
      <c r="G424">
        <f>IF(A424="","",SUMIFS(Transactions!$D:$D,Transactions!$B:$B,A424,Transactions!$C:$C,"Sell"))</f>
        <v/>
      </c>
      <c r="H424">
        <f>IF(A424="","",MAX(0,MIN(C424,G424-SUM(H$2:H423))))</f>
        <v/>
      </c>
      <c r="I424">
        <f>IF(C424="","",C424-H424)</f>
        <v/>
      </c>
      <c r="J424">
        <f>IF(I424="","",I424*D424)</f>
        <v/>
      </c>
    </row>
    <row r="425">
      <c r="A425">
        <f>IFERROR(INDEX(SORT(FILTER(Transactions!$B:$B,(Transactions!$C:$C="Buy")*(Transactions!$B:$B&lt;&gt;"")),1,1),424),"")</f>
        <v/>
      </c>
      <c r="B425">
        <f>IF(A425="","",INDEX(SORT(FILTER(Transactions!$A:$G,(Transactions!$C:$C="Buy")*(Transactions!$B:$B&lt;&gt;"")),2,1),424,1))</f>
        <v/>
      </c>
      <c r="C425">
        <f>IF(A425="","",INDEX(SORT(FILTER(Transactions!$A:$G,(Transactions!$C:$C="Buy")*(Transactions!$B:$B&lt;&gt;"")),2,1),424,4))</f>
        <v/>
      </c>
      <c r="D425">
        <f>IF(A425="","",INDEX(SORT(FILTER(Transactions!$A:$G,(Transactions!$C:$C="Buy")*(Transactions!$B:$B&lt;&gt;"")),2,1),424,5))</f>
        <v/>
      </c>
      <c r="E425">
        <f>IF(C425="","",C425*D425)</f>
        <v/>
      </c>
      <c r="F425">
        <f>IF(A425="","",SUMIFS(C$2:C425,A$2:A425,A425,B$2:B425,"&lt;="&amp;B425))</f>
        <v/>
      </c>
      <c r="G425">
        <f>IF(A425="","",SUMIFS(Transactions!$D:$D,Transactions!$B:$B,A425,Transactions!$C:$C,"Sell"))</f>
        <v/>
      </c>
      <c r="H425">
        <f>IF(A425="","",MAX(0,MIN(C425,G425-SUM(H$2:H424))))</f>
        <v/>
      </c>
      <c r="I425">
        <f>IF(C425="","",C425-H425)</f>
        <v/>
      </c>
      <c r="J425">
        <f>IF(I425="","",I425*D425)</f>
        <v/>
      </c>
    </row>
    <row r="426">
      <c r="A426">
        <f>IFERROR(INDEX(SORT(FILTER(Transactions!$B:$B,(Transactions!$C:$C="Buy")*(Transactions!$B:$B&lt;&gt;"")),1,1),425),"")</f>
        <v/>
      </c>
      <c r="B426">
        <f>IF(A426="","",INDEX(SORT(FILTER(Transactions!$A:$G,(Transactions!$C:$C="Buy")*(Transactions!$B:$B&lt;&gt;"")),2,1),425,1))</f>
        <v/>
      </c>
      <c r="C426">
        <f>IF(A426="","",INDEX(SORT(FILTER(Transactions!$A:$G,(Transactions!$C:$C="Buy")*(Transactions!$B:$B&lt;&gt;"")),2,1),425,4))</f>
        <v/>
      </c>
      <c r="D426">
        <f>IF(A426="","",INDEX(SORT(FILTER(Transactions!$A:$G,(Transactions!$C:$C="Buy")*(Transactions!$B:$B&lt;&gt;"")),2,1),425,5))</f>
        <v/>
      </c>
      <c r="E426">
        <f>IF(C426="","",C426*D426)</f>
        <v/>
      </c>
      <c r="F426">
        <f>IF(A426="","",SUMIFS(C$2:C426,A$2:A426,A426,B$2:B426,"&lt;="&amp;B426))</f>
        <v/>
      </c>
      <c r="G426">
        <f>IF(A426="","",SUMIFS(Transactions!$D:$D,Transactions!$B:$B,A426,Transactions!$C:$C,"Sell"))</f>
        <v/>
      </c>
      <c r="H426">
        <f>IF(A426="","",MAX(0,MIN(C426,G426-SUM(H$2:H425))))</f>
        <v/>
      </c>
      <c r="I426">
        <f>IF(C426="","",C426-H426)</f>
        <v/>
      </c>
      <c r="J426">
        <f>IF(I426="","",I426*D426)</f>
        <v/>
      </c>
    </row>
    <row r="427">
      <c r="A427">
        <f>IFERROR(INDEX(SORT(FILTER(Transactions!$B:$B,(Transactions!$C:$C="Buy")*(Transactions!$B:$B&lt;&gt;"")),1,1),426),"")</f>
        <v/>
      </c>
      <c r="B427">
        <f>IF(A427="","",INDEX(SORT(FILTER(Transactions!$A:$G,(Transactions!$C:$C="Buy")*(Transactions!$B:$B&lt;&gt;"")),2,1),426,1))</f>
        <v/>
      </c>
      <c r="C427">
        <f>IF(A427="","",INDEX(SORT(FILTER(Transactions!$A:$G,(Transactions!$C:$C="Buy")*(Transactions!$B:$B&lt;&gt;"")),2,1),426,4))</f>
        <v/>
      </c>
      <c r="D427">
        <f>IF(A427="","",INDEX(SORT(FILTER(Transactions!$A:$G,(Transactions!$C:$C="Buy")*(Transactions!$B:$B&lt;&gt;"")),2,1),426,5))</f>
        <v/>
      </c>
      <c r="E427">
        <f>IF(C427="","",C427*D427)</f>
        <v/>
      </c>
      <c r="F427">
        <f>IF(A427="","",SUMIFS(C$2:C427,A$2:A427,A427,B$2:B427,"&lt;="&amp;B427))</f>
        <v/>
      </c>
      <c r="G427">
        <f>IF(A427="","",SUMIFS(Transactions!$D:$D,Transactions!$B:$B,A427,Transactions!$C:$C,"Sell"))</f>
        <v/>
      </c>
      <c r="H427">
        <f>IF(A427="","",MAX(0,MIN(C427,G427-SUM(H$2:H426))))</f>
        <v/>
      </c>
      <c r="I427">
        <f>IF(C427="","",C427-H427)</f>
        <v/>
      </c>
      <c r="J427">
        <f>IF(I427="","",I427*D427)</f>
        <v/>
      </c>
    </row>
    <row r="428">
      <c r="A428">
        <f>IFERROR(INDEX(SORT(FILTER(Transactions!$B:$B,(Transactions!$C:$C="Buy")*(Transactions!$B:$B&lt;&gt;"")),1,1),427),"")</f>
        <v/>
      </c>
      <c r="B428">
        <f>IF(A428="","",INDEX(SORT(FILTER(Transactions!$A:$G,(Transactions!$C:$C="Buy")*(Transactions!$B:$B&lt;&gt;"")),2,1),427,1))</f>
        <v/>
      </c>
      <c r="C428">
        <f>IF(A428="","",INDEX(SORT(FILTER(Transactions!$A:$G,(Transactions!$C:$C="Buy")*(Transactions!$B:$B&lt;&gt;"")),2,1),427,4))</f>
        <v/>
      </c>
      <c r="D428">
        <f>IF(A428="","",INDEX(SORT(FILTER(Transactions!$A:$G,(Transactions!$C:$C="Buy")*(Transactions!$B:$B&lt;&gt;"")),2,1),427,5))</f>
        <v/>
      </c>
      <c r="E428">
        <f>IF(C428="","",C428*D428)</f>
        <v/>
      </c>
      <c r="F428">
        <f>IF(A428="","",SUMIFS(C$2:C428,A$2:A428,A428,B$2:B428,"&lt;="&amp;B428))</f>
        <v/>
      </c>
      <c r="G428">
        <f>IF(A428="","",SUMIFS(Transactions!$D:$D,Transactions!$B:$B,A428,Transactions!$C:$C,"Sell"))</f>
        <v/>
      </c>
      <c r="H428">
        <f>IF(A428="","",MAX(0,MIN(C428,G428-SUM(H$2:H427))))</f>
        <v/>
      </c>
      <c r="I428">
        <f>IF(C428="","",C428-H428)</f>
        <v/>
      </c>
      <c r="J428">
        <f>IF(I428="","",I428*D428)</f>
        <v/>
      </c>
    </row>
    <row r="429">
      <c r="A429">
        <f>IFERROR(INDEX(SORT(FILTER(Transactions!$B:$B,(Transactions!$C:$C="Buy")*(Transactions!$B:$B&lt;&gt;"")),1,1),428),"")</f>
        <v/>
      </c>
      <c r="B429">
        <f>IF(A429="","",INDEX(SORT(FILTER(Transactions!$A:$G,(Transactions!$C:$C="Buy")*(Transactions!$B:$B&lt;&gt;"")),2,1),428,1))</f>
        <v/>
      </c>
      <c r="C429">
        <f>IF(A429="","",INDEX(SORT(FILTER(Transactions!$A:$G,(Transactions!$C:$C="Buy")*(Transactions!$B:$B&lt;&gt;"")),2,1),428,4))</f>
        <v/>
      </c>
      <c r="D429">
        <f>IF(A429="","",INDEX(SORT(FILTER(Transactions!$A:$G,(Transactions!$C:$C="Buy")*(Transactions!$B:$B&lt;&gt;"")),2,1),428,5))</f>
        <v/>
      </c>
      <c r="E429">
        <f>IF(C429="","",C429*D429)</f>
        <v/>
      </c>
      <c r="F429">
        <f>IF(A429="","",SUMIFS(C$2:C429,A$2:A429,A429,B$2:B429,"&lt;="&amp;B429))</f>
        <v/>
      </c>
      <c r="G429">
        <f>IF(A429="","",SUMIFS(Transactions!$D:$D,Transactions!$B:$B,A429,Transactions!$C:$C,"Sell"))</f>
        <v/>
      </c>
      <c r="H429">
        <f>IF(A429="","",MAX(0,MIN(C429,G429-SUM(H$2:H428))))</f>
        <v/>
      </c>
      <c r="I429">
        <f>IF(C429="","",C429-H429)</f>
        <v/>
      </c>
      <c r="J429">
        <f>IF(I429="","",I429*D429)</f>
        <v/>
      </c>
    </row>
    <row r="430">
      <c r="A430">
        <f>IFERROR(INDEX(SORT(FILTER(Transactions!$B:$B,(Transactions!$C:$C="Buy")*(Transactions!$B:$B&lt;&gt;"")),1,1),429),"")</f>
        <v/>
      </c>
      <c r="B430">
        <f>IF(A430="","",INDEX(SORT(FILTER(Transactions!$A:$G,(Transactions!$C:$C="Buy")*(Transactions!$B:$B&lt;&gt;"")),2,1),429,1))</f>
        <v/>
      </c>
      <c r="C430">
        <f>IF(A430="","",INDEX(SORT(FILTER(Transactions!$A:$G,(Transactions!$C:$C="Buy")*(Transactions!$B:$B&lt;&gt;"")),2,1),429,4))</f>
        <v/>
      </c>
      <c r="D430">
        <f>IF(A430="","",INDEX(SORT(FILTER(Transactions!$A:$G,(Transactions!$C:$C="Buy")*(Transactions!$B:$B&lt;&gt;"")),2,1),429,5))</f>
        <v/>
      </c>
      <c r="E430">
        <f>IF(C430="","",C430*D430)</f>
        <v/>
      </c>
      <c r="F430">
        <f>IF(A430="","",SUMIFS(C$2:C430,A$2:A430,A430,B$2:B430,"&lt;="&amp;B430))</f>
        <v/>
      </c>
      <c r="G430">
        <f>IF(A430="","",SUMIFS(Transactions!$D:$D,Transactions!$B:$B,A430,Transactions!$C:$C,"Sell"))</f>
        <v/>
      </c>
      <c r="H430">
        <f>IF(A430="","",MAX(0,MIN(C430,G430-SUM(H$2:H429))))</f>
        <v/>
      </c>
      <c r="I430">
        <f>IF(C430="","",C430-H430)</f>
        <v/>
      </c>
      <c r="J430">
        <f>IF(I430="","",I430*D430)</f>
        <v/>
      </c>
    </row>
    <row r="431">
      <c r="A431">
        <f>IFERROR(INDEX(SORT(FILTER(Transactions!$B:$B,(Transactions!$C:$C="Buy")*(Transactions!$B:$B&lt;&gt;"")),1,1),430),"")</f>
        <v/>
      </c>
      <c r="B431">
        <f>IF(A431="","",INDEX(SORT(FILTER(Transactions!$A:$G,(Transactions!$C:$C="Buy")*(Transactions!$B:$B&lt;&gt;"")),2,1),430,1))</f>
        <v/>
      </c>
      <c r="C431">
        <f>IF(A431="","",INDEX(SORT(FILTER(Transactions!$A:$G,(Transactions!$C:$C="Buy")*(Transactions!$B:$B&lt;&gt;"")),2,1),430,4))</f>
        <v/>
      </c>
      <c r="D431">
        <f>IF(A431="","",INDEX(SORT(FILTER(Transactions!$A:$G,(Transactions!$C:$C="Buy")*(Transactions!$B:$B&lt;&gt;"")),2,1),430,5))</f>
        <v/>
      </c>
      <c r="E431">
        <f>IF(C431="","",C431*D431)</f>
        <v/>
      </c>
      <c r="F431">
        <f>IF(A431="","",SUMIFS(C$2:C431,A$2:A431,A431,B$2:B431,"&lt;="&amp;B431))</f>
        <v/>
      </c>
      <c r="G431">
        <f>IF(A431="","",SUMIFS(Transactions!$D:$D,Transactions!$B:$B,A431,Transactions!$C:$C,"Sell"))</f>
        <v/>
      </c>
      <c r="H431">
        <f>IF(A431="","",MAX(0,MIN(C431,G431-SUM(H$2:H430))))</f>
        <v/>
      </c>
      <c r="I431">
        <f>IF(C431="","",C431-H431)</f>
        <v/>
      </c>
      <c r="J431">
        <f>IF(I431="","",I431*D431)</f>
        <v/>
      </c>
    </row>
    <row r="432">
      <c r="A432">
        <f>IFERROR(INDEX(SORT(FILTER(Transactions!$B:$B,(Transactions!$C:$C="Buy")*(Transactions!$B:$B&lt;&gt;"")),1,1),431),"")</f>
        <v/>
      </c>
      <c r="B432">
        <f>IF(A432="","",INDEX(SORT(FILTER(Transactions!$A:$G,(Transactions!$C:$C="Buy")*(Transactions!$B:$B&lt;&gt;"")),2,1),431,1))</f>
        <v/>
      </c>
      <c r="C432">
        <f>IF(A432="","",INDEX(SORT(FILTER(Transactions!$A:$G,(Transactions!$C:$C="Buy")*(Transactions!$B:$B&lt;&gt;"")),2,1),431,4))</f>
        <v/>
      </c>
      <c r="D432">
        <f>IF(A432="","",INDEX(SORT(FILTER(Transactions!$A:$G,(Transactions!$C:$C="Buy")*(Transactions!$B:$B&lt;&gt;"")),2,1),431,5))</f>
        <v/>
      </c>
      <c r="E432">
        <f>IF(C432="","",C432*D432)</f>
        <v/>
      </c>
      <c r="F432">
        <f>IF(A432="","",SUMIFS(C$2:C432,A$2:A432,A432,B$2:B432,"&lt;="&amp;B432))</f>
        <v/>
      </c>
      <c r="G432">
        <f>IF(A432="","",SUMIFS(Transactions!$D:$D,Transactions!$B:$B,A432,Transactions!$C:$C,"Sell"))</f>
        <v/>
      </c>
      <c r="H432">
        <f>IF(A432="","",MAX(0,MIN(C432,G432-SUM(H$2:H431))))</f>
        <v/>
      </c>
      <c r="I432">
        <f>IF(C432="","",C432-H432)</f>
        <v/>
      </c>
      <c r="J432">
        <f>IF(I432="","",I432*D432)</f>
        <v/>
      </c>
    </row>
    <row r="433">
      <c r="A433">
        <f>IFERROR(INDEX(SORT(FILTER(Transactions!$B:$B,(Transactions!$C:$C="Buy")*(Transactions!$B:$B&lt;&gt;"")),1,1),432),"")</f>
        <v/>
      </c>
      <c r="B433">
        <f>IF(A433="","",INDEX(SORT(FILTER(Transactions!$A:$G,(Transactions!$C:$C="Buy")*(Transactions!$B:$B&lt;&gt;"")),2,1),432,1))</f>
        <v/>
      </c>
      <c r="C433">
        <f>IF(A433="","",INDEX(SORT(FILTER(Transactions!$A:$G,(Transactions!$C:$C="Buy")*(Transactions!$B:$B&lt;&gt;"")),2,1),432,4))</f>
        <v/>
      </c>
      <c r="D433">
        <f>IF(A433="","",INDEX(SORT(FILTER(Transactions!$A:$G,(Transactions!$C:$C="Buy")*(Transactions!$B:$B&lt;&gt;"")),2,1),432,5))</f>
        <v/>
      </c>
      <c r="E433">
        <f>IF(C433="","",C433*D433)</f>
        <v/>
      </c>
      <c r="F433">
        <f>IF(A433="","",SUMIFS(C$2:C433,A$2:A433,A433,B$2:B433,"&lt;="&amp;B433))</f>
        <v/>
      </c>
      <c r="G433">
        <f>IF(A433="","",SUMIFS(Transactions!$D:$D,Transactions!$B:$B,A433,Transactions!$C:$C,"Sell"))</f>
        <v/>
      </c>
      <c r="H433">
        <f>IF(A433="","",MAX(0,MIN(C433,G433-SUM(H$2:H432))))</f>
        <v/>
      </c>
      <c r="I433">
        <f>IF(C433="","",C433-H433)</f>
        <v/>
      </c>
      <c r="J433">
        <f>IF(I433="","",I433*D433)</f>
        <v/>
      </c>
    </row>
    <row r="434">
      <c r="A434">
        <f>IFERROR(INDEX(SORT(FILTER(Transactions!$B:$B,(Transactions!$C:$C="Buy")*(Transactions!$B:$B&lt;&gt;"")),1,1),433),"")</f>
        <v/>
      </c>
      <c r="B434">
        <f>IF(A434="","",INDEX(SORT(FILTER(Transactions!$A:$G,(Transactions!$C:$C="Buy")*(Transactions!$B:$B&lt;&gt;"")),2,1),433,1))</f>
        <v/>
      </c>
      <c r="C434">
        <f>IF(A434="","",INDEX(SORT(FILTER(Transactions!$A:$G,(Transactions!$C:$C="Buy")*(Transactions!$B:$B&lt;&gt;"")),2,1),433,4))</f>
        <v/>
      </c>
      <c r="D434">
        <f>IF(A434="","",INDEX(SORT(FILTER(Transactions!$A:$G,(Transactions!$C:$C="Buy")*(Transactions!$B:$B&lt;&gt;"")),2,1),433,5))</f>
        <v/>
      </c>
      <c r="E434">
        <f>IF(C434="","",C434*D434)</f>
        <v/>
      </c>
      <c r="F434">
        <f>IF(A434="","",SUMIFS(C$2:C434,A$2:A434,A434,B$2:B434,"&lt;="&amp;B434))</f>
        <v/>
      </c>
      <c r="G434">
        <f>IF(A434="","",SUMIFS(Transactions!$D:$D,Transactions!$B:$B,A434,Transactions!$C:$C,"Sell"))</f>
        <v/>
      </c>
      <c r="H434">
        <f>IF(A434="","",MAX(0,MIN(C434,G434-SUM(H$2:H433))))</f>
        <v/>
      </c>
      <c r="I434">
        <f>IF(C434="","",C434-H434)</f>
        <v/>
      </c>
      <c r="J434">
        <f>IF(I434="","",I434*D434)</f>
        <v/>
      </c>
    </row>
    <row r="435">
      <c r="A435">
        <f>IFERROR(INDEX(SORT(FILTER(Transactions!$B:$B,(Transactions!$C:$C="Buy")*(Transactions!$B:$B&lt;&gt;"")),1,1),434),"")</f>
        <v/>
      </c>
      <c r="B435">
        <f>IF(A435="","",INDEX(SORT(FILTER(Transactions!$A:$G,(Transactions!$C:$C="Buy")*(Transactions!$B:$B&lt;&gt;"")),2,1),434,1))</f>
        <v/>
      </c>
      <c r="C435">
        <f>IF(A435="","",INDEX(SORT(FILTER(Transactions!$A:$G,(Transactions!$C:$C="Buy")*(Transactions!$B:$B&lt;&gt;"")),2,1),434,4))</f>
        <v/>
      </c>
      <c r="D435">
        <f>IF(A435="","",INDEX(SORT(FILTER(Transactions!$A:$G,(Transactions!$C:$C="Buy")*(Transactions!$B:$B&lt;&gt;"")),2,1),434,5))</f>
        <v/>
      </c>
      <c r="E435">
        <f>IF(C435="","",C435*D435)</f>
        <v/>
      </c>
      <c r="F435">
        <f>IF(A435="","",SUMIFS(C$2:C435,A$2:A435,A435,B$2:B435,"&lt;="&amp;B435))</f>
        <v/>
      </c>
      <c r="G435">
        <f>IF(A435="","",SUMIFS(Transactions!$D:$D,Transactions!$B:$B,A435,Transactions!$C:$C,"Sell"))</f>
        <v/>
      </c>
      <c r="H435">
        <f>IF(A435="","",MAX(0,MIN(C435,G435-SUM(H$2:H434))))</f>
        <v/>
      </c>
      <c r="I435">
        <f>IF(C435="","",C435-H435)</f>
        <v/>
      </c>
      <c r="J435">
        <f>IF(I435="","",I435*D435)</f>
        <v/>
      </c>
    </row>
    <row r="436">
      <c r="A436">
        <f>IFERROR(INDEX(SORT(FILTER(Transactions!$B:$B,(Transactions!$C:$C="Buy")*(Transactions!$B:$B&lt;&gt;"")),1,1),435),"")</f>
        <v/>
      </c>
      <c r="B436">
        <f>IF(A436="","",INDEX(SORT(FILTER(Transactions!$A:$G,(Transactions!$C:$C="Buy")*(Transactions!$B:$B&lt;&gt;"")),2,1),435,1))</f>
        <v/>
      </c>
      <c r="C436">
        <f>IF(A436="","",INDEX(SORT(FILTER(Transactions!$A:$G,(Transactions!$C:$C="Buy")*(Transactions!$B:$B&lt;&gt;"")),2,1),435,4))</f>
        <v/>
      </c>
      <c r="D436">
        <f>IF(A436="","",INDEX(SORT(FILTER(Transactions!$A:$G,(Transactions!$C:$C="Buy")*(Transactions!$B:$B&lt;&gt;"")),2,1),435,5))</f>
        <v/>
      </c>
      <c r="E436">
        <f>IF(C436="","",C436*D436)</f>
        <v/>
      </c>
      <c r="F436">
        <f>IF(A436="","",SUMIFS(C$2:C436,A$2:A436,A436,B$2:B436,"&lt;="&amp;B436))</f>
        <v/>
      </c>
      <c r="G436">
        <f>IF(A436="","",SUMIFS(Transactions!$D:$D,Transactions!$B:$B,A436,Transactions!$C:$C,"Sell"))</f>
        <v/>
      </c>
      <c r="H436">
        <f>IF(A436="","",MAX(0,MIN(C436,G436-SUM(H$2:H435))))</f>
        <v/>
      </c>
      <c r="I436">
        <f>IF(C436="","",C436-H436)</f>
        <v/>
      </c>
      <c r="J436">
        <f>IF(I436="","",I436*D436)</f>
        <v/>
      </c>
    </row>
    <row r="437">
      <c r="A437">
        <f>IFERROR(INDEX(SORT(FILTER(Transactions!$B:$B,(Transactions!$C:$C="Buy")*(Transactions!$B:$B&lt;&gt;"")),1,1),436),"")</f>
        <v/>
      </c>
      <c r="B437">
        <f>IF(A437="","",INDEX(SORT(FILTER(Transactions!$A:$G,(Transactions!$C:$C="Buy")*(Transactions!$B:$B&lt;&gt;"")),2,1),436,1))</f>
        <v/>
      </c>
      <c r="C437">
        <f>IF(A437="","",INDEX(SORT(FILTER(Transactions!$A:$G,(Transactions!$C:$C="Buy")*(Transactions!$B:$B&lt;&gt;"")),2,1),436,4))</f>
        <v/>
      </c>
      <c r="D437">
        <f>IF(A437="","",INDEX(SORT(FILTER(Transactions!$A:$G,(Transactions!$C:$C="Buy")*(Transactions!$B:$B&lt;&gt;"")),2,1),436,5))</f>
        <v/>
      </c>
      <c r="E437">
        <f>IF(C437="","",C437*D437)</f>
        <v/>
      </c>
      <c r="F437">
        <f>IF(A437="","",SUMIFS(C$2:C437,A$2:A437,A437,B$2:B437,"&lt;="&amp;B437))</f>
        <v/>
      </c>
      <c r="G437">
        <f>IF(A437="","",SUMIFS(Transactions!$D:$D,Transactions!$B:$B,A437,Transactions!$C:$C,"Sell"))</f>
        <v/>
      </c>
      <c r="H437">
        <f>IF(A437="","",MAX(0,MIN(C437,G437-SUM(H$2:H436))))</f>
        <v/>
      </c>
      <c r="I437">
        <f>IF(C437="","",C437-H437)</f>
        <v/>
      </c>
      <c r="J437">
        <f>IF(I437="","",I437*D437)</f>
        <v/>
      </c>
    </row>
    <row r="438">
      <c r="A438">
        <f>IFERROR(INDEX(SORT(FILTER(Transactions!$B:$B,(Transactions!$C:$C="Buy")*(Transactions!$B:$B&lt;&gt;"")),1,1),437),"")</f>
        <v/>
      </c>
      <c r="B438">
        <f>IF(A438="","",INDEX(SORT(FILTER(Transactions!$A:$G,(Transactions!$C:$C="Buy")*(Transactions!$B:$B&lt;&gt;"")),2,1),437,1))</f>
        <v/>
      </c>
      <c r="C438">
        <f>IF(A438="","",INDEX(SORT(FILTER(Transactions!$A:$G,(Transactions!$C:$C="Buy")*(Transactions!$B:$B&lt;&gt;"")),2,1),437,4))</f>
        <v/>
      </c>
      <c r="D438">
        <f>IF(A438="","",INDEX(SORT(FILTER(Transactions!$A:$G,(Transactions!$C:$C="Buy")*(Transactions!$B:$B&lt;&gt;"")),2,1),437,5))</f>
        <v/>
      </c>
      <c r="E438">
        <f>IF(C438="","",C438*D438)</f>
        <v/>
      </c>
      <c r="F438">
        <f>IF(A438="","",SUMIFS(C$2:C438,A$2:A438,A438,B$2:B438,"&lt;="&amp;B438))</f>
        <v/>
      </c>
      <c r="G438">
        <f>IF(A438="","",SUMIFS(Transactions!$D:$D,Transactions!$B:$B,A438,Transactions!$C:$C,"Sell"))</f>
        <v/>
      </c>
      <c r="H438">
        <f>IF(A438="","",MAX(0,MIN(C438,G438-SUM(H$2:H437))))</f>
        <v/>
      </c>
      <c r="I438">
        <f>IF(C438="","",C438-H438)</f>
        <v/>
      </c>
      <c r="J438">
        <f>IF(I438="","",I438*D438)</f>
        <v/>
      </c>
    </row>
    <row r="439">
      <c r="A439">
        <f>IFERROR(INDEX(SORT(FILTER(Transactions!$B:$B,(Transactions!$C:$C="Buy")*(Transactions!$B:$B&lt;&gt;"")),1,1),438),"")</f>
        <v/>
      </c>
      <c r="B439">
        <f>IF(A439="","",INDEX(SORT(FILTER(Transactions!$A:$G,(Transactions!$C:$C="Buy")*(Transactions!$B:$B&lt;&gt;"")),2,1),438,1))</f>
        <v/>
      </c>
      <c r="C439">
        <f>IF(A439="","",INDEX(SORT(FILTER(Transactions!$A:$G,(Transactions!$C:$C="Buy")*(Transactions!$B:$B&lt;&gt;"")),2,1),438,4))</f>
        <v/>
      </c>
      <c r="D439">
        <f>IF(A439="","",INDEX(SORT(FILTER(Transactions!$A:$G,(Transactions!$C:$C="Buy")*(Transactions!$B:$B&lt;&gt;"")),2,1),438,5))</f>
        <v/>
      </c>
      <c r="E439">
        <f>IF(C439="","",C439*D439)</f>
        <v/>
      </c>
      <c r="F439">
        <f>IF(A439="","",SUMIFS(C$2:C439,A$2:A439,A439,B$2:B439,"&lt;="&amp;B439))</f>
        <v/>
      </c>
      <c r="G439">
        <f>IF(A439="","",SUMIFS(Transactions!$D:$D,Transactions!$B:$B,A439,Transactions!$C:$C,"Sell"))</f>
        <v/>
      </c>
      <c r="H439">
        <f>IF(A439="","",MAX(0,MIN(C439,G439-SUM(H$2:H438))))</f>
        <v/>
      </c>
      <c r="I439">
        <f>IF(C439="","",C439-H439)</f>
        <v/>
      </c>
      <c r="J439">
        <f>IF(I439="","",I439*D439)</f>
        <v/>
      </c>
    </row>
    <row r="440">
      <c r="A440">
        <f>IFERROR(INDEX(SORT(FILTER(Transactions!$B:$B,(Transactions!$C:$C="Buy")*(Transactions!$B:$B&lt;&gt;"")),1,1),439),"")</f>
        <v/>
      </c>
      <c r="B440">
        <f>IF(A440="","",INDEX(SORT(FILTER(Transactions!$A:$G,(Transactions!$C:$C="Buy")*(Transactions!$B:$B&lt;&gt;"")),2,1),439,1))</f>
        <v/>
      </c>
      <c r="C440">
        <f>IF(A440="","",INDEX(SORT(FILTER(Transactions!$A:$G,(Transactions!$C:$C="Buy")*(Transactions!$B:$B&lt;&gt;"")),2,1),439,4))</f>
        <v/>
      </c>
      <c r="D440">
        <f>IF(A440="","",INDEX(SORT(FILTER(Transactions!$A:$G,(Transactions!$C:$C="Buy")*(Transactions!$B:$B&lt;&gt;"")),2,1),439,5))</f>
        <v/>
      </c>
      <c r="E440">
        <f>IF(C440="","",C440*D440)</f>
        <v/>
      </c>
      <c r="F440">
        <f>IF(A440="","",SUMIFS(C$2:C440,A$2:A440,A440,B$2:B440,"&lt;="&amp;B440))</f>
        <v/>
      </c>
      <c r="G440">
        <f>IF(A440="","",SUMIFS(Transactions!$D:$D,Transactions!$B:$B,A440,Transactions!$C:$C,"Sell"))</f>
        <v/>
      </c>
      <c r="H440">
        <f>IF(A440="","",MAX(0,MIN(C440,G440-SUM(H$2:H439))))</f>
        <v/>
      </c>
      <c r="I440">
        <f>IF(C440="","",C440-H440)</f>
        <v/>
      </c>
      <c r="J440">
        <f>IF(I440="","",I440*D440)</f>
        <v/>
      </c>
    </row>
    <row r="441">
      <c r="A441">
        <f>IFERROR(INDEX(SORT(FILTER(Transactions!$B:$B,(Transactions!$C:$C="Buy")*(Transactions!$B:$B&lt;&gt;"")),1,1),440),"")</f>
        <v/>
      </c>
      <c r="B441">
        <f>IF(A441="","",INDEX(SORT(FILTER(Transactions!$A:$G,(Transactions!$C:$C="Buy")*(Transactions!$B:$B&lt;&gt;"")),2,1),440,1))</f>
        <v/>
      </c>
      <c r="C441">
        <f>IF(A441="","",INDEX(SORT(FILTER(Transactions!$A:$G,(Transactions!$C:$C="Buy")*(Transactions!$B:$B&lt;&gt;"")),2,1),440,4))</f>
        <v/>
      </c>
      <c r="D441">
        <f>IF(A441="","",INDEX(SORT(FILTER(Transactions!$A:$G,(Transactions!$C:$C="Buy")*(Transactions!$B:$B&lt;&gt;"")),2,1),440,5))</f>
        <v/>
      </c>
      <c r="E441">
        <f>IF(C441="","",C441*D441)</f>
        <v/>
      </c>
      <c r="F441">
        <f>IF(A441="","",SUMIFS(C$2:C441,A$2:A441,A441,B$2:B441,"&lt;="&amp;B441))</f>
        <v/>
      </c>
      <c r="G441">
        <f>IF(A441="","",SUMIFS(Transactions!$D:$D,Transactions!$B:$B,A441,Transactions!$C:$C,"Sell"))</f>
        <v/>
      </c>
      <c r="H441">
        <f>IF(A441="","",MAX(0,MIN(C441,G441-SUM(H$2:H440))))</f>
        <v/>
      </c>
      <c r="I441">
        <f>IF(C441="","",C441-H441)</f>
        <v/>
      </c>
      <c r="J441">
        <f>IF(I441="","",I441*D441)</f>
        <v/>
      </c>
    </row>
    <row r="442">
      <c r="A442">
        <f>IFERROR(INDEX(SORT(FILTER(Transactions!$B:$B,(Transactions!$C:$C="Buy")*(Transactions!$B:$B&lt;&gt;"")),1,1),441),"")</f>
        <v/>
      </c>
      <c r="B442">
        <f>IF(A442="","",INDEX(SORT(FILTER(Transactions!$A:$G,(Transactions!$C:$C="Buy")*(Transactions!$B:$B&lt;&gt;"")),2,1),441,1))</f>
        <v/>
      </c>
      <c r="C442">
        <f>IF(A442="","",INDEX(SORT(FILTER(Transactions!$A:$G,(Transactions!$C:$C="Buy")*(Transactions!$B:$B&lt;&gt;"")),2,1),441,4))</f>
        <v/>
      </c>
      <c r="D442">
        <f>IF(A442="","",INDEX(SORT(FILTER(Transactions!$A:$G,(Transactions!$C:$C="Buy")*(Transactions!$B:$B&lt;&gt;"")),2,1),441,5))</f>
        <v/>
      </c>
      <c r="E442">
        <f>IF(C442="","",C442*D442)</f>
        <v/>
      </c>
      <c r="F442">
        <f>IF(A442="","",SUMIFS(C$2:C442,A$2:A442,A442,B$2:B442,"&lt;="&amp;B442))</f>
        <v/>
      </c>
      <c r="G442">
        <f>IF(A442="","",SUMIFS(Transactions!$D:$D,Transactions!$B:$B,A442,Transactions!$C:$C,"Sell"))</f>
        <v/>
      </c>
      <c r="H442">
        <f>IF(A442="","",MAX(0,MIN(C442,G442-SUM(H$2:H441))))</f>
        <v/>
      </c>
      <c r="I442">
        <f>IF(C442="","",C442-H442)</f>
        <v/>
      </c>
      <c r="J442">
        <f>IF(I442="","",I442*D442)</f>
        <v/>
      </c>
    </row>
    <row r="443">
      <c r="A443">
        <f>IFERROR(INDEX(SORT(FILTER(Transactions!$B:$B,(Transactions!$C:$C="Buy")*(Transactions!$B:$B&lt;&gt;"")),1,1),442),"")</f>
        <v/>
      </c>
      <c r="B443">
        <f>IF(A443="","",INDEX(SORT(FILTER(Transactions!$A:$G,(Transactions!$C:$C="Buy")*(Transactions!$B:$B&lt;&gt;"")),2,1),442,1))</f>
        <v/>
      </c>
      <c r="C443">
        <f>IF(A443="","",INDEX(SORT(FILTER(Transactions!$A:$G,(Transactions!$C:$C="Buy")*(Transactions!$B:$B&lt;&gt;"")),2,1),442,4))</f>
        <v/>
      </c>
      <c r="D443">
        <f>IF(A443="","",INDEX(SORT(FILTER(Transactions!$A:$G,(Transactions!$C:$C="Buy")*(Transactions!$B:$B&lt;&gt;"")),2,1),442,5))</f>
        <v/>
      </c>
      <c r="E443">
        <f>IF(C443="","",C443*D443)</f>
        <v/>
      </c>
      <c r="F443">
        <f>IF(A443="","",SUMIFS(C$2:C443,A$2:A443,A443,B$2:B443,"&lt;="&amp;B443))</f>
        <v/>
      </c>
      <c r="G443">
        <f>IF(A443="","",SUMIFS(Transactions!$D:$D,Transactions!$B:$B,A443,Transactions!$C:$C,"Sell"))</f>
        <v/>
      </c>
      <c r="H443">
        <f>IF(A443="","",MAX(0,MIN(C443,G443-SUM(H$2:H442))))</f>
        <v/>
      </c>
      <c r="I443">
        <f>IF(C443="","",C443-H443)</f>
        <v/>
      </c>
      <c r="J443">
        <f>IF(I443="","",I443*D443)</f>
        <v/>
      </c>
    </row>
    <row r="444">
      <c r="A444">
        <f>IFERROR(INDEX(SORT(FILTER(Transactions!$B:$B,(Transactions!$C:$C="Buy")*(Transactions!$B:$B&lt;&gt;"")),1,1),443),"")</f>
        <v/>
      </c>
      <c r="B444">
        <f>IF(A444="","",INDEX(SORT(FILTER(Transactions!$A:$G,(Transactions!$C:$C="Buy")*(Transactions!$B:$B&lt;&gt;"")),2,1),443,1))</f>
        <v/>
      </c>
      <c r="C444">
        <f>IF(A444="","",INDEX(SORT(FILTER(Transactions!$A:$G,(Transactions!$C:$C="Buy")*(Transactions!$B:$B&lt;&gt;"")),2,1),443,4))</f>
        <v/>
      </c>
      <c r="D444">
        <f>IF(A444="","",INDEX(SORT(FILTER(Transactions!$A:$G,(Transactions!$C:$C="Buy")*(Transactions!$B:$B&lt;&gt;"")),2,1),443,5))</f>
        <v/>
      </c>
      <c r="E444">
        <f>IF(C444="","",C444*D444)</f>
        <v/>
      </c>
      <c r="F444">
        <f>IF(A444="","",SUMIFS(C$2:C444,A$2:A444,A444,B$2:B444,"&lt;="&amp;B444))</f>
        <v/>
      </c>
      <c r="G444">
        <f>IF(A444="","",SUMIFS(Transactions!$D:$D,Transactions!$B:$B,A444,Transactions!$C:$C,"Sell"))</f>
        <v/>
      </c>
      <c r="H444">
        <f>IF(A444="","",MAX(0,MIN(C444,G444-SUM(H$2:H443))))</f>
        <v/>
      </c>
      <c r="I444">
        <f>IF(C444="","",C444-H444)</f>
        <v/>
      </c>
      <c r="J444">
        <f>IF(I444="","",I444*D444)</f>
        <v/>
      </c>
    </row>
    <row r="445">
      <c r="A445">
        <f>IFERROR(INDEX(SORT(FILTER(Transactions!$B:$B,(Transactions!$C:$C="Buy")*(Transactions!$B:$B&lt;&gt;"")),1,1),444),"")</f>
        <v/>
      </c>
      <c r="B445">
        <f>IF(A445="","",INDEX(SORT(FILTER(Transactions!$A:$G,(Transactions!$C:$C="Buy")*(Transactions!$B:$B&lt;&gt;"")),2,1),444,1))</f>
        <v/>
      </c>
      <c r="C445">
        <f>IF(A445="","",INDEX(SORT(FILTER(Transactions!$A:$G,(Transactions!$C:$C="Buy")*(Transactions!$B:$B&lt;&gt;"")),2,1),444,4))</f>
        <v/>
      </c>
      <c r="D445">
        <f>IF(A445="","",INDEX(SORT(FILTER(Transactions!$A:$G,(Transactions!$C:$C="Buy")*(Transactions!$B:$B&lt;&gt;"")),2,1),444,5))</f>
        <v/>
      </c>
      <c r="E445">
        <f>IF(C445="","",C445*D445)</f>
        <v/>
      </c>
      <c r="F445">
        <f>IF(A445="","",SUMIFS(C$2:C445,A$2:A445,A445,B$2:B445,"&lt;="&amp;B445))</f>
        <v/>
      </c>
      <c r="G445">
        <f>IF(A445="","",SUMIFS(Transactions!$D:$D,Transactions!$B:$B,A445,Transactions!$C:$C,"Sell"))</f>
        <v/>
      </c>
      <c r="H445">
        <f>IF(A445="","",MAX(0,MIN(C445,G445-SUM(H$2:H444))))</f>
        <v/>
      </c>
      <c r="I445">
        <f>IF(C445="","",C445-H445)</f>
        <v/>
      </c>
      <c r="J445">
        <f>IF(I445="","",I445*D445)</f>
        <v/>
      </c>
    </row>
    <row r="446">
      <c r="A446">
        <f>IFERROR(INDEX(SORT(FILTER(Transactions!$B:$B,(Transactions!$C:$C="Buy")*(Transactions!$B:$B&lt;&gt;"")),1,1),445),"")</f>
        <v/>
      </c>
      <c r="B446">
        <f>IF(A446="","",INDEX(SORT(FILTER(Transactions!$A:$G,(Transactions!$C:$C="Buy")*(Transactions!$B:$B&lt;&gt;"")),2,1),445,1))</f>
        <v/>
      </c>
      <c r="C446">
        <f>IF(A446="","",INDEX(SORT(FILTER(Transactions!$A:$G,(Transactions!$C:$C="Buy")*(Transactions!$B:$B&lt;&gt;"")),2,1),445,4))</f>
        <v/>
      </c>
      <c r="D446">
        <f>IF(A446="","",INDEX(SORT(FILTER(Transactions!$A:$G,(Transactions!$C:$C="Buy")*(Transactions!$B:$B&lt;&gt;"")),2,1),445,5))</f>
        <v/>
      </c>
      <c r="E446">
        <f>IF(C446="","",C446*D446)</f>
        <v/>
      </c>
      <c r="F446">
        <f>IF(A446="","",SUMIFS(C$2:C446,A$2:A446,A446,B$2:B446,"&lt;="&amp;B446))</f>
        <v/>
      </c>
      <c r="G446">
        <f>IF(A446="","",SUMIFS(Transactions!$D:$D,Transactions!$B:$B,A446,Transactions!$C:$C,"Sell"))</f>
        <v/>
      </c>
      <c r="H446">
        <f>IF(A446="","",MAX(0,MIN(C446,G446-SUM(H$2:H445))))</f>
        <v/>
      </c>
      <c r="I446">
        <f>IF(C446="","",C446-H446)</f>
        <v/>
      </c>
      <c r="J446">
        <f>IF(I446="","",I446*D446)</f>
        <v/>
      </c>
    </row>
    <row r="447">
      <c r="A447">
        <f>IFERROR(INDEX(SORT(FILTER(Transactions!$B:$B,(Transactions!$C:$C="Buy")*(Transactions!$B:$B&lt;&gt;"")),1,1),446),"")</f>
        <v/>
      </c>
      <c r="B447">
        <f>IF(A447="","",INDEX(SORT(FILTER(Transactions!$A:$G,(Transactions!$C:$C="Buy")*(Transactions!$B:$B&lt;&gt;"")),2,1),446,1))</f>
        <v/>
      </c>
      <c r="C447">
        <f>IF(A447="","",INDEX(SORT(FILTER(Transactions!$A:$G,(Transactions!$C:$C="Buy")*(Transactions!$B:$B&lt;&gt;"")),2,1),446,4))</f>
        <v/>
      </c>
      <c r="D447">
        <f>IF(A447="","",INDEX(SORT(FILTER(Transactions!$A:$G,(Transactions!$C:$C="Buy")*(Transactions!$B:$B&lt;&gt;"")),2,1),446,5))</f>
        <v/>
      </c>
      <c r="E447">
        <f>IF(C447="","",C447*D447)</f>
        <v/>
      </c>
      <c r="F447">
        <f>IF(A447="","",SUMIFS(C$2:C447,A$2:A447,A447,B$2:B447,"&lt;="&amp;B447))</f>
        <v/>
      </c>
      <c r="G447">
        <f>IF(A447="","",SUMIFS(Transactions!$D:$D,Transactions!$B:$B,A447,Transactions!$C:$C,"Sell"))</f>
        <v/>
      </c>
      <c r="H447">
        <f>IF(A447="","",MAX(0,MIN(C447,G447-SUM(H$2:H446))))</f>
        <v/>
      </c>
      <c r="I447">
        <f>IF(C447="","",C447-H447)</f>
        <v/>
      </c>
      <c r="J447">
        <f>IF(I447="","",I447*D447)</f>
        <v/>
      </c>
    </row>
    <row r="448">
      <c r="A448">
        <f>IFERROR(INDEX(SORT(FILTER(Transactions!$B:$B,(Transactions!$C:$C="Buy")*(Transactions!$B:$B&lt;&gt;"")),1,1),447),"")</f>
        <v/>
      </c>
      <c r="B448">
        <f>IF(A448="","",INDEX(SORT(FILTER(Transactions!$A:$G,(Transactions!$C:$C="Buy")*(Transactions!$B:$B&lt;&gt;"")),2,1),447,1))</f>
        <v/>
      </c>
      <c r="C448">
        <f>IF(A448="","",INDEX(SORT(FILTER(Transactions!$A:$G,(Transactions!$C:$C="Buy")*(Transactions!$B:$B&lt;&gt;"")),2,1),447,4))</f>
        <v/>
      </c>
      <c r="D448">
        <f>IF(A448="","",INDEX(SORT(FILTER(Transactions!$A:$G,(Transactions!$C:$C="Buy")*(Transactions!$B:$B&lt;&gt;"")),2,1),447,5))</f>
        <v/>
      </c>
      <c r="E448">
        <f>IF(C448="","",C448*D448)</f>
        <v/>
      </c>
      <c r="F448">
        <f>IF(A448="","",SUMIFS(C$2:C448,A$2:A448,A448,B$2:B448,"&lt;="&amp;B448))</f>
        <v/>
      </c>
      <c r="G448">
        <f>IF(A448="","",SUMIFS(Transactions!$D:$D,Transactions!$B:$B,A448,Transactions!$C:$C,"Sell"))</f>
        <v/>
      </c>
      <c r="H448">
        <f>IF(A448="","",MAX(0,MIN(C448,G448-SUM(H$2:H447))))</f>
        <v/>
      </c>
      <c r="I448">
        <f>IF(C448="","",C448-H448)</f>
        <v/>
      </c>
      <c r="J448">
        <f>IF(I448="","",I448*D448)</f>
        <v/>
      </c>
    </row>
    <row r="449">
      <c r="A449">
        <f>IFERROR(INDEX(SORT(FILTER(Transactions!$B:$B,(Transactions!$C:$C="Buy")*(Transactions!$B:$B&lt;&gt;"")),1,1),448),"")</f>
        <v/>
      </c>
      <c r="B449">
        <f>IF(A449="","",INDEX(SORT(FILTER(Transactions!$A:$G,(Transactions!$C:$C="Buy")*(Transactions!$B:$B&lt;&gt;"")),2,1),448,1))</f>
        <v/>
      </c>
      <c r="C449">
        <f>IF(A449="","",INDEX(SORT(FILTER(Transactions!$A:$G,(Transactions!$C:$C="Buy")*(Transactions!$B:$B&lt;&gt;"")),2,1),448,4))</f>
        <v/>
      </c>
      <c r="D449">
        <f>IF(A449="","",INDEX(SORT(FILTER(Transactions!$A:$G,(Transactions!$C:$C="Buy")*(Transactions!$B:$B&lt;&gt;"")),2,1),448,5))</f>
        <v/>
      </c>
      <c r="E449">
        <f>IF(C449="","",C449*D449)</f>
        <v/>
      </c>
      <c r="F449">
        <f>IF(A449="","",SUMIFS(C$2:C449,A$2:A449,A449,B$2:B449,"&lt;="&amp;B449))</f>
        <v/>
      </c>
      <c r="G449">
        <f>IF(A449="","",SUMIFS(Transactions!$D:$D,Transactions!$B:$B,A449,Transactions!$C:$C,"Sell"))</f>
        <v/>
      </c>
      <c r="H449">
        <f>IF(A449="","",MAX(0,MIN(C449,G449-SUM(H$2:H448))))</f>
        <v/>
      </c>
      <c r="I449">
        <f>IF(C449="","",C449-H449)</f>
        <v/>
      </c>
      <c r="J449">
        <f>IF(I449="","",I449*D449)</f>
        <v/>
      </c>
    </row>
    <row r="450">
      <c r="A450">
        <f>IFERROR(INDEX(SORT(FILTER(Transactions!$B:$B,(Transactions!$C:$C="Buy")*(Transactions!$B:$B&lt;&gt;"")),1,1),449),"")</f>
        <v/>
      </c>
      <c r="B450">
        <f>IF(A450="","",INDEX(SORT(FILTER(Transactions!$A:$G,(Transactions!$C:$C="Buy")*(Transactions!$B:$B&lt;&gt;"")),2,1),449,1))</f>
        <v/>
      </c>
      <c r="C450">
        <f>IF(A450="","",INDEX(SORT(FILTER(Transactions!$A:$G,(Transactions!$C:$C="Buy")*(Transactions!$B:$B&lt;&gt;"")),2,1),449,4))</f>
        <v/>
      </c>
      <c r="D450">
        <f>IF(A450="","",INDEX(SORT(FILTER(Transactions!$A:$G,(Transactions!$C:$C="Buy")*(Transactions!$B:$B&lt;&gt;"")),2,1),449,5))</f>
        <v/>
      </c>
      <c r="E450">
        <f>IF(C450="","",C450*D450)</f>
        <v/>
      </c>
      <c r="F450">
        <f>IF(A450="","",SUMIFS(C$2:C450,A$2:A450,A450,B$2:B450,"&lt;="&amp;B450))</f>
        <v/>
      </c>
      <c r="G450">
        <f>IF(A450="","",SUMIFS(Transactions!$D:$D,Transactions!$B:$B,A450,Transactions!$C:$C,"Sell"))</f>
        <v/>
      </c>
      <c r="H450">
        <f>IF(A450="","",MAX(0,MIN(C450,G450-SUM(H$2:H449))))</f>
        <v/>
      </c>
      <c r="I450">
        <f>IF(C450="","",C450-H450)</f>
        <v/>
      </c>
      <c r="J450">
        <f>IF(I450="","",I450*D450)</f>
        <v/>
      </c>
    </row>
    <row r="451">
      <c r="A451">
        <f>IFERROR(INDEX(SORT(FILTER(Transactions!$B:$B,(Transactions!$C:$C="Buy")*(Transactions!$B:$B&lt;&gt;"")),1,1),450),"")</f>
        <v/>
      </c>
      <c r="B451">
        <f>IF(A451="","",INDEX(SORT(FILTER(Transactions!$A:$G,(Transactions!$C:$C="Buy")*(Transactions!$B:$B&lt;&gt;"")),2,1),450,1))</f>
        <v/>
      </c>
      <c r="C451">
        <f>IF(A451="","",INDEX(SORT(FILTER(Transactions!$A:$G,(Transactions!$C:$C="Buy")*(Transactions!$B:$B&lt;&gt;"")),2,1),450,4))</f>
        <v/>
      </c>
      <c r="D451">
        <f>IF(A451="","",INDEX(SORT(FILTER(Transactions!$A:$G,(Transactions!$C:$C="Buy")*(Transactions!$B:$B&lt;&gt;"")),2,1),450,5))</f>
        <v/>
      </c>
      <c r="E451">
        <f>IF(C451="","",C451*D451)</f>
        <v/>
      </c>
      <c r="F451">
        <f>IF(A451="","",SUMIFS(C$2:C451,A$2:A451,A451,B$2:B451,"&lt;="&amp;B451))</f>
        <v/>
      </c>
      <c r="G451">
        <f>IF(A451="","",SUMIFS(Transactions!$D:$D,Transactions!$B:$B,A451,Transactions!$C:$C,"Sell"))</f>
        <v/>
      </c>
      <c r="H451">
        <f>IF(A451="","",MAX(0,MIN(C451,G451-SUM(H$2:H450))))</f>
        <v/>
      </c>
      <c r="I451">
        <f>IF(C451="","",C451-H451)</f>
        <v/>
      </c>
      <c r="J451">
        <f>IF(I451="","",I451*D451)</f>
        <v/>
      </c>
    </row>
    <row r="452">
      <c r="A452">
        <f>IFERROR(INDEX(SORT(FILTER(Transactions!$B:$B,(Transactions!$C:$C="Buy")*(Transactions!$B:$B&lt;&gt;"")),1,1),451),"")</f>
        <v/>
      </c>
      <c r="B452">
        <f>IF(A452="","",INDEX(SORT(FILTER(Transactions!$A:$G,(Transactions!$C:$C="Buy")*(Transactions!$B:$B&lt;&gt;"")),2,1),451,1))</f>
        <v/>
      </c>
      <c r="C452">
        <f>IF(A452="","",INDEX(SORT(FILTER(Transactions!$A:$G,(Transactions!$C:$C="Buy")*(Transactions!$B:$B&lt;&gt;"")),2,1),451,4))</f>
        <v/>
      </c>
      <c r="D452">
        <f>IF(A452="","",INDEX(SORT(FILTER(Transactions!$A:$G,(Transactions!$C:$C="Buy")*(Transactions!$B:$B&lt;&gt;"")),2,1),451,5))</f>
        <v/>
      </c>
      <c r="E452">
        <f>IF(C452="","",C452*D452)</f>
        <v/>
      </c>
      <c r="F452">
        <f>IF(A452="","",SUMIFS(C$2:C452,A$2:A452,A452,B$2:B452,"&lt;="&amp;B452))</f>
        <v/>
      </c>
      <c r="G452">
        <f>IF(A452="","",SUMIFS(Transactions!$D:$D,Transactions!$B:$B,A452,Transactions!$C:$C,"Sell"))</f>
        <v/>
      </c>
      <c r="H452">
        <f>IF(A452="","",MAX(0,MIN(C452,G452-SUM(H$2:H451))))</f>
        <v/>
      </c>
      <c r="I452">
        <f>IF(C452="","",C452-H452)</f>
        <v/>
      </c>
      <c r="J452">
        <f>IF(I452="","",I452*D452)</f>
        <v/>
      </c>
    </row>
    <row r="453">
      <c r="A453">
        <f>IFERROR(INDEX(SORT(FILTER(Transactions!$B:$B,(Transactions!$C:$C="Buy")*(Transactions!$B:$B&lt;&gt;"")),1,1),452),"")</f>
        <v/>
      </c>
      <c r="B453">
        <f>IF(A453="","",INDEX(SORT(FILTER(Transactions!$A:$G,(Transactions!$C:$C="Buy")*(Transactions!$B:$B&lt;&gt;"")),2,1),452,1))</f>
        <v/>
      </c>
      <c r="C453">
        <f>IF(A453="","",INDEX(SORT(FILTER(Transactions!$A:$G,(Transactions!$C:$C="Buy")*(Transactions!$B:$B&lt;&gt;"")),2,1),452,4))</f>
        <v/>
      </c>
      <c r="D453">
        <f>IF(A453="","",INDEX(SORT(FILTER(Transactions!$A:$G,(Transactions!$C:$C="Buy")*(Transactions!$B:$B&lt;&gt;"")),2,1),452,5))</f>
        <v/>
      </c>
      <c r="E453">
        <f>IF(C453="","",C453*D453)</f>
        <v/>
      </c>
      <c r="F453">
        <f>IF(A453="","",SUMIFS(C$2:C453,A$2:A453,A453,B$2:B453,"&lt;="&amp;B453))</f>
        <v/>
      </c>
      <c r="G453">
        <f>IF(A453="","",SUMIFS(Transactions!$D:$D,Transactions!$B:$B,A453,Transactions!$C:$C,"Sell"))</f>
        <v/>
      </c>
      <c r="H453">
        <f>IF(A453="","",MAX(0,MIN(C453,G453-SUM(H$2:H452))))</f>
        <v/>
      </c>
      <c r="I453">
        <f>IF(C453="","",C453-H453)</f>
        <v/>
      </c>
      <c r="J453">
        <f>IF(I453="","",I453*D453)</f>
        <v/>
      </c>
    </row>
    <row r="454">
      <c r="A454">
        <f>IFERROR(INDEX(SORT(FILTER(Transactions!$B:$B,(Transactions!$C:$C="Buy")*(Transactions!$B:$B&lt;&gt;"")),1,1),453),"")</f>
        <v/>
      </c>
      <c r="B454">
        <f>IF(A454="","",INDEX(SORT(FILTER(Transactions!$A:$G,(Transactions!$C:$C="Buy")*(Transactions!$B:$B&lt;&gt;"")),2,1),453,1))</f>
        <v/>
      </c>
      <c r="C454">
        <f>IF(A454="","",INDEX(SORT(FILTER(Transactions!$A:$G,(Transactions!$C:$C="Buy")*(Transactions!$B:$B&lt;&gt;"")),2,1),453,4))</f>
        <v/>
      </c>
      <c r="D454">
        <f>IF(A454="","",INDEX(SORT(FILTER(Transactions!$A:$G,(Transactions!$C:$C="Buy")*(Transactions!$B:$B&lt;&gt;"")),2,1),453,5))</f>
        <v/>
      </c>
      <c r="E454">
        <f>IF(C454="","",C454*D454)</f>
        <v/>
      </c>
      <c r="F454">
        <f>IF(A454="","",SUMIFS(C$2:C454,A$2:A454,A454,B$2:B454,"&lt;="&amp;B454))</f>
        <v/>
      </c>
      <c r="G454">
        <f>IF(A454="","",SUMIFS(Transactions!$D:$D,Transactions!$B:$B,A454,Transactions!$C:$C,"Sell"))</f>
        <v/>
      </c>
      <c r="H454">
        <f>IF(A454="","",MAX(0,MIN(C454,G454-SUM(H$2:H453))))</f>
        <v/>
      </c>
      <c r="I454">
        <f>IF(C454="","",C454-H454)</f>
        <v/>
      </c>
      <c r="J454">
        <f>IF(I454="","",I454*D454)</f>
        <v/>
      </c>
    </row>
    <row r="455">
      <c r="A455">
        <f>IFERROR(INDEX(SORT(FILTER(Transactions!$B:$B,(Transactions!$C:$C="Buy")*(Transactions!$B:$B&lt;&gt;"")),1,1),454),"")</f>
        <v/>
      </c>
      <c r="B455">
        <f>IF(A455="","",INDEX(SORT(FILTER(Transactions!$A:$G,(Transactions!$C:$C="Buy")*(Transactions!$B:$B&lt;&gt;"")),2,1),454,1))</f>
        <v/>
      </c>
      <c r="C455">
        <f>IF(A455="","",INDEX(SORT(FILTER(Transactions!$A:$G,(Transactions!$C:$C="Buy")*(Transactions!$B:$B&lt;&gt;"")),2,1),454,4))</f>
        <v/>
      </c>
      <c r="D455">
        <f>IF(A455="","",INDEX(SORT(FILTER(Transactions!$A:$G,(Transactions!$C:$C="Buy")*(Transactions!$B:$B&lt;&gt;"")),2,1),454,5))</f>
        <v/>
      </c>
      <c r="E455">
        <f>IF(C455="","",C455*D455)</f>
        <v/>
      </c>
      <c r="F455">
        <f>IF(A455="","",SUMIFS(C$2:C455,A$2:A455,A455,B$2:B455,"&lt;="&amp;B455))</f>
        <v/>
      </c>
      <c r="G455">
        <f>IF(A455="","",SUMIFS(Transactions!$D:$D,Transactions!$B:$B,A455,Transactions!$C:$C,"Sell"))</f>
        <v/>
      </c>
      <c r="H455">
        <f>IF(A455="","",MAX(0,MIN(C455,G455-SUM(H$2:H454))))</f>
        <v/>
      </c>
      <c r="I455">
        <f>IF(C455="","",C455-H455)</f>
        <v/>
      </c>
      <c r="J455">
        <f>IF(I455="","",I455*D455)</f>
        <v/>
      </c>
    </row>
    <row r="456">
      <c r="A456">
        <f>IFERROR(INDEX(SORT(FILTER(Transactions!$B:$B,(Transactions!$C:$C="Buy")*(Transactions!$B:$B&lt;&gt;"")),1,1),455),"")</f>
        <v/>
      </c>
      <c r="B456">
        <f>IF(A456="","",INDEX(SORT(FILTER(Transactions!$A:$G,(Transactions!$C:$C="Buy")*(Transactions!$B:$B&lt;&gt;"")),2,1),455,1))</f>
        <v/>
      </c>
      <c r="C456">
        <f>IF(A456="","",INDEX(SORT(FILTER(Transactions!$A:$G,(Transactions!$C:$C="Buy")*(Transactions!$B:$B&lt;&gt;"")),2,1),455,4))</f>
        <v/>
      </c>
      <c r="D456">
        <f>IF(A456="","",INDEX(SORT(FILTER(Transactions!$A:$G,(Transactions!$C:$C="Buy")*(Transactions!$B:$B&lt;&gt;"")),2,1),455,5))</f>
        <v/>
      </c>
      <c r="E456">
        <f>IF(C456="","",C456*D456)</f>
        <v/>
      </c>
      <c r="F456">
        <f>IF(A456="","",SUMIFS(C$2:C456,A$2:A456,A456,B$2:B456,"&lt;="&amp;B456))</f>
        <v/>
      </c>
      <c r="G456">
        <f>IF(A456="","",SUMIFS(Transactions!$D:$D,Transactions!$B:$B,A456,Transactions!$C:$C,"Sell"))</f>
        <v/>
      </c>
      <c r="H456">
        <f>IF(A456="","",MAX(0,MIN(C456,G456-SUM(H$2:H455))))</f>
        <v/>
      </c>
      <c r="I456">
        <f>IF(C456="","",C456-H456)</f>
        <v/>
      </c>
      <c r="J456">
        <f>IF(I456="","",I456*D456)</f>
        <v/>
      </c>
    </row>
    <row r="457">
      <c r="A457">
        <f>IFERROR(INDEX(SORT(FILTER(Transactions!$B:$B,(Transactions!$C:$C="Buy")*(Transactions!$B:$B&lt;&gt;"")),1,1),456),"")</f>
        <v/>
      </c>
      <c r="B457">
        <f>IF(A457="","",INDEX(SORT(FILTER(Transactions!$A:$G,(Transactions!$C:$C="Buy")*(Transactions!$B:$B&lt;&gt;"")),2,1),456,1))</f>
        <v/>
      </c>
      <c r="C457">
        <f>IF(A457="","",INDEX(SORT(FILTER(Transactions!$A:$G,(Transactions!$C:$C="Buy")*(Transactions!$B:$B&lt;&gt;"")),2,1),456,4))</f>
        <v/>
      </c>
      <c r="D457">
        <f>IF(A457="","",INDEX(SORT(FILTER(Transactions!$A:$G,(Transactions!$C:$C="Buy")*(Transactions!$B:$B&lt;&gt;"")),2,1),456,5))</f>
        <v/>
      </c>
      <c r="E457">
        <f>IF(C457="","",C457*D457)</f>
        <v/>
      </c>
      <c r="F457">
        <f>IF(A457="","",SUMIFS(C$2:C457,A$2:A457,A457,B$2:B457,"&lt;="&amp;B457))</f>
        <v/>
      </c>
      <c r="G457">
        <f>IF(A457="","",SUMIFS(Transactions!$D:$D,Transactions!$B:$B,A457,Transactions!$C:$C,"Sell"))</f>
        <v/>
      </c>
      <c r="H457">
        <f>IF(A457="","",MAX(0,MIN(C457,G457-SUM(H$2:H456))))</f>
        <v/>
      </c>
      <c r="I457">
        <f>IF(C457="","",C457-H457)</f>
        <v/>
      </c>
      <c r="J457">
        <f>IF(I457="","",I457*D457)</f>
        <v/>
      </c>
    </row>
    <row r="458">
      <c r="A458">
        <f>IFERROR(INDEX(SORT(FILTER(Transactions!$B:$B,(Transactions!$C:$C="Buy")*(Transactions!$B:$B&lt;&gt;"")),1,1),457),"")</f>
        <v/>
      </c>
      <c r="B458">
        <f>IF(A458="","",INDEX(SORT(FILTER(Transactions!$A:$G,(Transactions!$C:$C="Buy")*(Transactions!$B:$B&lt;&gt;"")),2,1),457,1))</f>
        <v/>
      </c>
      <c r="C458">
        <f>IF(A458="","",INDEX(SORT(FILTER(Transactions!$A:$G,(Transactions!$C:$C="Buy")*(Transactions!$B:$B&lt;&gt;"")),2,1),457,4))</f>
        <v/>
      </c>
      <c r="D458">
        <f>IF(A458="","",INDEX(SORT(FILTER(Transactions!$A:$G,(Transactions!$C:$C="Buy")*(Transactions!$B:$B&lt;&gt;"")),2,1),457,5))</f>
        <v/>
      </c>
      <c r="E458">
        <f>IF(C458="","",C458*D458)</f>
        <v/>
      </c>
      <c r="F458">
        <f>IF(A458="","",SUMIFS(C$2:C458,A$2:A458,A458,B$2:B458,"&lt;="&amp;B458))</f>
        <v/>
      </c>
      <c r="G458">
        <f>IF(A458="","",SUMIFS(Transactions!$D:$D,Transactions!$B:$B,A458,Transactions!$C:$C,"Sell"))</f>
        <v/>
      </c>
      <c r="H458">
        <f>IF(A458="","",MAX(0,MIN(C458,G458-SUM(H$2:H457))))</f>
        <v/>
      </c>
      <c r="I458">
        <f>IF(C458="","",C458-H458)</f>
        <v/>
      </c>
      <c r="J458">
        <f>IF(I458="","",I458*D458)</f>
        <v/>
      </c>
    </row>
    <row r="459">
      <c r="A459">
        <f>IFERROR(INDEX(SORT(FILTER(Transactions!$B:$B,(Transactions!$C:$C="Buy")*(Transactions!$B:$B&lt;&gt;"")),1,1),458),"")</f>
        <v/>
      </c>
      <c r="B459">
        <f>IF(A459="","",INDEX(SORT(FILTER(Transactions!$A:$G,(Transactions!$C:$C="Buy")*(Transactions!$B:$B&lt;&gt;"")),2,1),458,1))</f>
        <v/>
      </c>
      <c r="C459">
        <f>IF(A459="","",INDEX(SORT(FILTER(Transactions!$A:$G,(Transactions!$C:$C="Buy")*(Transactions!$B:$B&lt;&gt;"")),2,1),458,4))</f>
        <v/>
      </c>
      <c r="D459">
        <f>IF(A459="","",INDEX(SORT(FILTER(Transactions!$A:$G,(Transactions!$C:$C="Buy")*(Transactions!$B:$B&lt;&gt;"")),2,1),458,5))</f>
        <v/>
      </c>
      <c r="E459">
        <f>IF(C459="","",C459*D459)</f>
        <v/>
      </c>
      <c r="F459">
        <f>IF(A459="","",SUMIFS(C$2:C459,A$2:A459,A459,B$2:B459,"&lt;="&amp;B459))</f>
        <v/>
      </c>
      <c r="G459">
        <f>IF(A459="","",SUMIFS(Transactions!$D:$D,Transactions!$B:$B,A459,Transactions!$C:$C,"Sell"))</f>
        <v/>
      </c>
      <c r="H459">
        <f>IF(A459="","",MAX(0,MIN(C459,G459-SUM(H$2:H458))))</f>
        <v/>
      </c>
      <c r="I459">
        <f>IF(C459="","",C459-H459)</f>
        <v/>
      </c>
      <c r="J459">
        <f>IF(I459="","",I459*D459)</f>
        <v/>
      </c>
    </row>
    <row r="460">
      <c r="A460">
        <f>IFERROR(INDEX(SORT(FILTER(Transactions!$B:$B,(Transactions!$C:$C="Buy")*(Transactions!$B:$B&lt;&gt;"")),1,1),459),"")</f>
        <v/>
      </c>
      <c r="B460">
        <f>IF(A460="","",INDEX(SORT(FILTER(Transactions!$A:$G,(Transactions!$C:$C="Buy")*(Transactions!$B:$B&lt;&gt;"")),2,1),459,1))</f>
        <v/>
      </c>
      <c r="C460">
        <f>IF(A460="","",INDEX(SORT(FILTER(Transactions!$A:$G,(Transactions!$C:$C="Buy")*(Transactions!$B:$B&lt;&gt;"")),2,1),459,4))</f>
        <v/>
      </c>
      <c r="D460">
        <f>IF(A460="","",INDEX(SORT(FILTER(Transactions!$A:$G,(Transactions!$C:$C="Buy")*(Transactions!$B:$B&lt;&gt;"")),2,1),459,5))</f>
        <v/>
      </c>
      <c r="E460">
        <f>IF(C460="","",C460*D460)</f>
        <v/>
      </c>
      <c r="F460">
        <f>IF(A460="","",SUMIFS(C$2:C460,A$2:A460,A460,B$2:B460,"&lt;="&amp;B460))</f>
        <v/>
      </c>
      <c r="G460">
        <f>IF(A460="","",SUMIFS(Transactions!$D:$D,Transactions!$B:$B,A460,Transactions!$C:$C,"Sell"))</f>
        <v/>
      </c>
      <c r="H460">
        <f>IF(A460="","",MAX(0,MIN(C460,G460-SUM(H$2:H459))))</f>
        <v/>
      </c>
      <c r="I460">
        <f>IF(C460="","",C460-H460)</f>
        <v/>
      </c>
      <c r="J460">
        <f>IF(I460="","",I460*D460)</f>
        <v/>
      </c>
    </row>
    <row r="461">
      <c r="A461">
        <f>IFERROR(INDEX(SORT(FILTER(Transactions!$B:$B,(Transactions!$C:$C="Buy")*(Transactions!$B:$B&lt;&gt;"")),1,1),460),"")</f>
        <v/>
      </c>
      <c r="B461">
        <f>IF(A461="","",INDEX(SORT(FILTER(Transactions!$A:$G,(Transactions!$C:$C="Buy")*(Transactions!$B:$B&lt;&gt;"")),2,1),460,1))</f>
        <v/>
      </c>
      <c r="C461">
        <f>IF(A461="","",INDEX(SORT(FILTER(Transactions!$A:$G,(Transactions!$C:$C="Buy")*(Transactions!$B:$B&lt;&gt;"")),2,1),460,4))</f>
        <v/>
      </c>
      <c r="D461">
        <f>IF(A461="","",INDEX(SORT(FILTER(Transactions!$A:$G,(Transactions!$C:$C="Buy")*(Transactions!$B:$B&lt;&gt;"")),2,1),460,5))</f>
        <v/>
      </c>
      <c r="E461">
        <f>IF(C461="","",C461*D461)</f>
        <v/>
      </c>
      <c r="F461">
        <f>IF(A461="","",SUMIFS(C$2:C461,A$2:A461,A461,B$2:B461,"&lt;="&amp;B461))</f>
        <v/>
      </c>
      <c r="G461">
        <f>IF(A461="","",SUMIFS(Transactions!$D:$D,Transactions!$B:$B,A461,Transactions!$C:$C,"Sell"))</f>
        <v/>
      </c>
      <c r="H461">
        <f>IF(A461="","",MAX(0,MIN(C461,G461-SUM(H$2:H460))))</f>
        <v/>
      </c>
      <c r="I461">
        <f>IF(C461="","",C461-H461)</f>
        <v/>
      </c>
      <c r="J461">
        <f>IF(I461="","",I461*D461)</f>
        <v/>
      </c>
    </row>
    <row r="462">
      <c r="A462">
        <f>IFERROR(INDEX(SORT(FILTER(Transactions!$B:$B,(Transactions!$C:$C="Buy")*(Transactions!$B:$B&lt;&gt;"")),1,1),461),"")</f>
        <v/>
      </c>
      <c r="B462">
        <f>IF(A462="","",INDEX(SORT(FILTER(Transactions!$A:$G,(Transactions!$C:$C="Buy")*(Transactions!$B:$B&lt;&gt;"")),2,1),461,1))</f>
        <v/>
      </c>
      <c r="C462">
        <f>IF(A462="","",INDEX(SORT(FILTER(Transactions!$A:$G,(Transactions!$C:$C="Buy")*(Transactions!$B:$B&lt;&gt;"")),2,1),461,4))</f>
        <v/>
      </c>
      <c r="D462">
        <f>IF(A462="","",INDEX(SORT(FILTER(Transactions!$A:$G,(Transactions!$C:$C="Buy")*(Transactions!$B:$B&lt;&gt;"")),2,1),461,5))</f>
        <v/>
      </c>
      <c r="E462">
        <f>IF(C462="","",C462*D462)</f>
        <v/>
      </c>
      <c r="F462">
        <f>IF(A462="","",SUMIFS(C$2:C462,A$2:A462,A462,B$2:B462,"&lt;="&amp;B462))</f>
        <v/>
      </c>
      <c r="G462">
        <f>IF(A462="","",SUMIFS(Transactions!$D:$D,Transactions!$B:$B,A462,Transactions!$C:$C,"Sell"))</f>
        <v/>
      </c>
      <c r="H462">
        <f>IF(A462="","",MAX(0,MIN(C462,G462-SUM(H$2:H461))))</f>
        <v/>
      </c>
      <c r="I462">
        <f>IF(C462="","",C462-H462)</f>
        <v/>
      </c>
      <c r="J462">
        <f>IF(I462="","",I462*D462)</f>
        <v/>
      </c>
    </row>
    <row r="463">
      <c r="A463">
        <f>IFERROR(INDEX(SORT(FILTER(Transactions!$B:$B,(Transactions!$C:$C="Buy")*(Transactions!$B:$B&lt;&gt;"")),1,1),462),"")</f>
        <v/>
      </c>
      <c r="B463">
        <f>IF(A463="","",INDEX(SORT(FILTER(Transactions!$A:$G,(Transactions!$C:$C="Buy")*(Transactions!$B:$B&lt;&gt;"")),2,1),462,1))</f>
        <v/>
      </c>
      <c r="C463">
        <f>IF(A463="","",INDEX(SORT(FILTER(Transactions!$A:$G,(Transactions!$C:$C="Buy")*(Transactions!$B:$B&lt;&gt;"")),2,1),462,4))</f>
        <v/>
      </c>
      <c r="D463">
        <f>IF(A463="","",INDEX(SORT(FILTER(Transactions!$A:$G,(Transactions!$C:$C="Buy")*(Transactions!$B:$B&lt;&gt;"")),2,1),462,5))</f>
        <v/>
      </c>
      <c r="E463">
        <f>IF(C463="","",C463*D463)</f>
        <v/>
      </c>
      <c r="F463">
        <f>IF(A463="","",SUMIFS(C$2:C463,A$2:A463,A463,B$2:B463,"&lt;="&amp;B463))</f>
        <v/>
      </c>
      <c r="G463">
        <f>IF(A463="","",SUMIFS(Transactions!$D:$D,Transactions!$B:$B,A463,Transactions!$C:$C,"Sell"))</f>
        <v/>
      </c>
      <c r="H463">
        <f>IF(A463="","",MAX(0,MIN(C463,G463-SUM(H$2:H462))))</f>
        <v/>
      </c>
      <c r="I463">
        <f>IF(C463="","",C463-H463)</f>
        <v/>
      </c>
      <c r="J463">
        <f>IF(I463="","",I463*D463)</f>
        <v/>
      </c>
    </row>
    <row r="464">
      <c r="A464">
        <f>IFERROR(INDEX(SORT(FILTER(Transactions!$B:$B,(Transactions!$C:$C="Buy")*(Transactions!$B:$B&lt;&gt;"")),1,1),463),"")</f>
        <v/>
      </c>
      <c r="B464">
        <f>IF(A464="","",INDEX(SORT(FILTER(Transactions!$A:$G,(Transactions!$C:$C="Buy")*(Transactions!$B:$B&lt;&gt;"")),2,1),463,1))</f>
        <v/>
      </c>
      <c r="C464">
        <f>IF(A464="","",INDEX(SORT(FILTER(Transactions!$A:$G,(Transactions!$C:$C="Buy")*(Transactions!$B:$B&lt;&gt;"")),2,1),463,4))</f>
        <v/>
      </c>
      <c r="D464">
        <f>IF(A464="","",INDEX(SORT(FILTER(Transactions!$A:$G,(Transactions!$C:$C="Buy")*(Transactions!$B:$B&lt;&gt;"")),2,1),463,5))</f>
        <v/>
      </c>
      <c r="E464">
        <f>IF(C464="","",C464*D464)</f>
        <v/>
      </c>
      <c r="F464">
        <f>IF(A464="","",SUMIFS(C$2:C464,A$2:A464,A464,B$2:B464,"&lt;="&amp;B464))</f>
        <v/>
      </c>
      <c r="G464">
        <f>IF(A464="","",SUMIFS(Transactions!$D:$D,Transactions!$B:$B,A464,Transactions!$C:$C,"Sell"))</f>
        <v/>
      </c>
      <c r="H464">
        <f>IF(A464="","",MAX(0,MIN(C464,G464-SUM(H$2:H463))))</f>
        <v/>
      </c>
      <c r="I464">
        <f>IF(C464="","",C464-H464)</f>
        <v/>
      </c>
      <c r="J464">
        <f>IF(I464="","",I464*D464)</f>
        <v/>
      </c>
    </row>
    <row r="465">
      <c r="A465">
        <f>IFERROR(INDEX(SORT(FILTER(Transactions!$B:$B,(Transactions!$C:$C="Buy")*(Transactions!$B:$B&lt;&gt;"")),1,1),464),"")</f>
        <v/>
      </c>
      <c r="B465">
        <f>IF(A465="","",INDEX(SORT(FILTER(Transactions!$A:$G,(Transactions!$C:$C="Buy")*(Transactions!$B:$B&lt;&gt;"")),2,1),464,1))</f>
        <v/>
      </c>
      <c r="C465">
        <f>IF(A465="","",INDEX(SORT(FILTER(Transactions!$A:$G,(Transactions!$C:$C="Buy")*(Transactions!$B:$B&lt;&gt;"")),2,1),464,4))</f>
        <v/>
      </c>
      <c r="D465">
        <f>IF(A465="","",INDEX(SORT(FILTER(Transactions!$A:$G,(Transactions!$C:$C="Buy")*(Transactions!$B:$B&lt;&gt;"")),2,1),464,5))</f>
        <v/>
      </c>
      <c r="E465">
        <f>IF(C465="","",C465*D465)</f>
        <v/>
      </c>
      <c r="F465">
        <f>IF(A465="","",SUMIFS(C$2:C465,A$2:A465,A465,B$2:B465,"&lt;="&amp;B465))</f>
        <v/>
      </c>
      <c r="G465">
        <f>IF(A465="","",SUMIFS(Transactions!$D:$D,Transactions!$B:$B,A465,Transactions!$C:$C,"Sell"))</f>
        <v/>
      </c>
      <c r="H465">
        <f>IF(A465="","",MAX(0,MIN(C465,G465-SUM(H$2:H464))))</f>
        <v/>
      </c>
      <c r="I465">
        <f>IF(C465="","",C465-H465)</f>
        <v/>
      </c>
      <c r="J465">
        <f>IF(I465="","",I465*D465)</f>
        <v/>
      </c>
    </row>
    <row r="466">
      <c r="A466">
        <f>IFERROR(INDEX(SORT(FILTER(Transactions!$B:$B,(Transactions!$C:$C="Buy")*(Transactions!$B:$B&lt;&gt;"")),1,1),465),"")</f>
        <v/>
      </c>
      <c r="B466">
        <f>IF(A466="","",INDEX(SORT(FILTER(Transactions!$A:$G,(Transactions!$C:$C="Buy")*(Transactions!$B:$B&lt;&gt;"")),2,1),465,1))</f>
        <v/>
      </c>
      <c r="C466">
        <f>IF(A466="","",INDEX(SORT(FILTER(Transactions!$A:$G,(Transactions!$C:$C="Buy")*(Transactions!$B:$B&lt;&gt;"")),2,1),465,4))</f>
        <v/>
      </c>
      <c r="D466">
        <f>IF(A466="","",INDEX(SORT(FILTER(Transactions!$A:$G,(Transactions!$C:$C="Buy")*(Transactions!$B:$B&lt;&gt;"")),2,1),465,5))</f>
        <v/>
      </c>
      <c r="E466">
        <f>IF(C466="","",C466*D466)</f>
        <v/>
      </c>
      <c r="F466">
        <f>IF(A466="","",SUMIFS(C$2:C466,A$2:A466,A466,B$2:B466,"&lt;="&amp;B466))</f>
        <v/>
      </c>
      <c r="G466">
        <f>IF(A466="","",SUMIFS(Transactions!$D:$D,Transactions!$B:$B,A466,Transactions!$C:$C,"Sell"))</f>
        <v/>
      </c>
      <c r="H466">
        <f>IF(A466="","",MAX(0,MIN(C466,G466-SUM(H$2:H465))))</f>
        <v/>
      </c>
      <c r="I466">
        <f>IF(C466="","",C466-H466)</f>
        <v/>
      </c>
      <c r="J466">
        <f>IF(I466="","",I466*D466)</f>
        <v/>
      </c>
    </row>
    <row r="467">
      <c r="A467">
        <f>IFERROR(INDEX(SORT(FILTER(Transactions!$B:$B,(Transactions!$C:$C="Buy")*(Transactions!$B:$B&lt;&gt;"")),1,1),466),"")</f>
        <v/>
      </c>
      <c r="B467">
        <f>IF(A467="","",INDEX(SORT(FILTER(Transactions!$A:$G,(Transactions!$C:$C="Buy")*(Transactions!$B:$B&lt;&gt;"")),2,1),466,1))</f>
        <v/>
      </c>
      <c r="C467">
        <f>IF(A467="","",INDEX(SORT(FILTER(Transactions!$A:$G,(Transactions!$C:$C="Buy")*(Transactions!$B:$B&lt;&gt;"")),2,1),466,4))</f>
        <v/>
      </c>
      <c r="D467">
        <f>IF(A467="","",INDEX(SORT(FILTER(Transactions!$A:$G,(Transactions!$C:$C="Buy")*(Transactions!$B:$B&lt;&gt;"")),2,1),466,5))</f>
        <v/>
      </c>
      <c r="E467">
        <f>IF(C467="","",C467*D467)</f>
        <v/>
      </c>
      <c r="F467">
        <f>IF(A467="","",SUMIFS(C$2:C467,A$2:A467,A467,B$2:B467,"&lt;="&amp;B467))</f>
        <v/>
      </c>
      <c r="G467">
        <f>IF(A467="","",SUMIFS(Transactions!$D:$D,Transactions!$B:$B,A467,Transactions!$C:$C,"Sell"))</f>
        <v/>
      </c>
      <c r="H467">
        <f>IF(A467="","",MAX(0,MIN(C467,G467-SUM(H$2:H466))))</f>
        <v/>
      </c>
      <c r="I467">
        <f>IF(C467="","",C467-H467)</f>
        <v/>
      </c>
      <c r="J467">
        <f>IF(I467="","",I467*D467)</f>
        <v/>
      </c>
    </row>
    <row r="468">
      <c r="A468">
        <f>IFERROR(INDEX(SORT(FILTER(Transactions!$B:$B,(Transactions!$C:$C="Buy")*(Transactions!$B:$B&lt;&gt;"")),1,1),467),"")</f>
        <v/>
      </c>
      <c r="B468">
        <f>IF(A468="","",INDEX(SORT(FILTER(Transactions!$A:$G,(Transactions!$C:$C="Buy")*(Transactions!$B:$B&lt;&gt;"")),2,1),467,1))</f>
        <v/>
      </c>
      <c r="C468">
        <f>IF(A468="","",INDEX(SORT(FILTER(Transactions!$A:$G,(Transactions!$C:$C="Buy")*(Transactions!$B:$B&lt;&gt;"")),2,1),467,4))</f>
        <v/>
      </c>
      <c r="D468">
        <f>IF(A468="","",INDEX(SORT(FILTER(Transactions!$A:$G,(Transactions!$C:$C="Buy")*(Transactions!$B:$B&lt;&gt;"")),2,1),467,5))</f>
        <v/>
      </c>
      <c r="E468">
        <f>IF(C468="","",C468*D468)</f>
        <v/>
      </c>
      <c r="F468">
        <f>IF(A468="","",SUMIFS(C$2:C468,A$2:A468,A468,B$2:B468,"&lt;="&amp;B468))</f>
        <v/>
      </c>
      <c r="G468">
        <f>IF(A468="","",SUMIFS(Transactions!$D:$D,Transactions!$B:$B,A468,Transactions!$C:$C,"Sell"))</f>
        <v/>
      </c>
      <c r="H468">
        <f>IF(A468="","",MAX(0,MIN(C468,G468-SUM(H$2:H467))))</f>
        <v/>
      </c>
      <c r="I468">
        <f>IF(C468="","",C468-H468)</f>
        <v/>
      </c>
      <c r="J468">
        <f>IF(I468="","",I468*D468)</f>
        <v/>
      </c>
    </row>
    <row r="469">
      <c r="A469">
        <f>IFERROR(INDEX(SORT(FILTER(Transactions!$B:$B,(Transactions!$C:$C="Buy")*(Transactions!$B:$B&lt;&gt;"")),1,1),468),"")</f>
        <v/>
      </c>
      <c r="B469">
        <f>IF(A469="","",INDEX(SORT(FILTER(Transactions!$A:$G,(Transactions!$C:$C="Buy")*(Transactions!$B:$B&lt;&gt;"")),2,1),468,1))</f>
        <v/>
      </c>
      <c r="C469">
        <f>IF(A469="","",INDEX(SORT(FILTER(Transactions!$A:$G,(Transactions!$C:$C="Buy")*(Transactions!$B:$B&lt;&gt;"")),2,1),468,4))</f>
        <v/>
      </c>
      <c r="D469">
        <f>IF(A469="","",INDEX(SORT(FILTER(Transactions!$A:$G,(Transactions!$C:$C="Buy")*(Transactions!$B:$B&lt;&gt;"")),2,1),468,5))</f>
        <v/>
      </c>
      <c r="E469">
        <f>IF(C469="","",C469*D469)</f>
        <v/>
      </c>
      <c r="F469">
        <f>IF(A469="","",SUMIFS(C$2:C469,A$2:A469,A469,B$2:B469,"&lt;="&amp;B469))</f>
        <v/>
      </c>
      <c r="G469">
        <f>IF(A469="","",SUMIFS(Transactions!$D:$D,Transactions!$B:$B,A469,Transactions!$C:$C,"Sell"))</f>
        <v/>
      </c>
      <c r="H469">
        <f>IF(A469="","",MAX(0,MIN(C469,G469-SUM(H$2:H468))))</f>
        <v/>
      </c>
      <c r="I469">
        <f>IF(C469="","",C469-H469)</f>
        <v/>
      </c>
      <c r="J469">
        <f>IF(I469="","",I469*D469)</f>
        <v/>
      </c>
    </row>
    <row r="470">
      <c r="A470">
        <f>IFERROR(INDEX(SORT(FILTER(Transactions!$B:$B,(Transactions!$C:$C="Buy")*(Transactions!$B:$B&lt;&gt;"")),1,1),469),"")</f>
        <v/>
      </c>
      <c r="B470">
        <f>IF(A470="","",INDEX(SORT(FILTER(Transactions!$A:$G,(Transactions!$C:$C="Buy")*(Transactions!$B:$B&lt;&gt;"")),2,1),469,1))</f>
        <v/>
      </c>
      <c r="C470">
        <f>IF(A470="","",INDEX(SORT(FILTER(Transactions!$A:$G,(Transactions!$C:$C="Buy")*(Transactions!$B:$B&lt;&gt;"")),2,1),469,4))</f>
        <v/>
      </c>
      <c r="D470">
        <f>IF(A470="","",INDEX(SORT(FILTER(Transactions!$A:$G,(Transactions!$C:$C="Buy")*(Transactions!$B:$B&lt;&gt;"")),2,1),469,5))</f>
        <v/>
      </c>
      <c r="E470">
        <f>IF(C470="","",C470*D470)</f>
        <v/>
      </c>
      <c r="F470">
        <f>IF(A470="","",SUMIFS(C$2:C470,A$2:A470,A470,B$2:B470,"&lt;="&amp;B470))</f>
        <v/>
      </c>
      <c r="G470">
        <f>IF(A470="","",SUMIFS(Transactions!$D:$D,Transactions!$B:$B,A470,Transactions!$C:$C,"Sell"))</f>
        <v/>
      </c>
      <c r="H470">
        <f>IF(A470="","",MAX(0,MIN(C470,G470-SUM(H$2:H469))))</f>
        <v/>
      </c>
      <c r="I470">
        <f>IF(C470="","",C470-H470)</f>
        <v/>
      </c>
      <c r="J470">
        <f>IF(I470="","",I470*D470)</f>
        <v/>
      </c>
    </row>
    <row r="471">
      <c r="A471">
        <f>IFERROR(INDEX(SORT(FILTER(Transactions!$B:$B,(Transactions!$C:$C="Buy")*(Transactions!$B:$B&lt;&gt;"")),1,1),470),"")</f>
        <v/>
      </c>
      <c r="B471">
        <f>IF(A471="","",INDEX(SORT(FILTER(Transactions!$A:$G,(Transactions!$C:$C="Buy")*(Transactions!$B:$B&lt;&gt;"")),2,1),470,1))</f>
        <v/>
      </c>
      <c r="C471">
        <f>IF(A471="","",INDEX(SORT(FILTER(Transactions!$A:$G,(Transactions!$C:$C="Buy")*(Transactions!$B:$B&lt;&gt;"")),2,1),470,4))</f>
        <v/>
      </c>
      <c r="D471">
        <f>IF(A471="","",INDEX(SORT(FILTER(Transactions!$A:$G,(Transactions!$C:$C="Buy")*(Transactions!$B:$B&lt;&gt;"")),2,1),470,5))</f>
        <v/>
      </c>
      <c r="E471">
        <f>IF(C471="","",C471*D471)</f>
        <v/>
      </c>
      <c r="F471">
        <f>IF(A471="","",SUMIFS(C$2:C471,A$2:A471,A471,B$2:B471,"&lt;="&amp;B471))</f>
        <v/>
      </c>
      <c r="G471">
        <f>IF(A471="","",SUMIFS(Transactions!$D:$D,Transactions!$B:$B,A471,Transactions!$C:$C,"Sell"))</f>
        <v/>
      </c>
      <c r="H471">
        <f>IF(A471="","",MAX(0,MIN(C471,G471-SUM(H$2:H470))))</f>
        <v/>
      </c>
      <c r="I471">
        <f>IF(C471="","",C471-H471)</f>
        <v/>
      </c>
      <c r="J471">
        <f>IF(I471="","",I471*D471)</f>
        <v/>
      </c>
    </row>
    <row r="472">
      <c r="A472">
        <f>IFERROR(INDEX(SORT(FILTER(Transactions!$B:$B,(Transactions!$C:$C="Buy")*(Transactions!$B:$B&lt;&gt;"")),1,1),471),"")</f>
        <v/>
      </c>
      <c r="B472">
        <f>IF(A472="","",INDEX(SORT(FILTER(Transactions!$A:$G,(Transactions!$C:$C="Buy")*(Transactions!$B:$B&lt;&gt;"")),2,1),471,1))</f>
        <v/>
      </c>
      <c r="C472">
        <f>IF(A472="","",INDEX(SORT(FILTER(Transactions!$A:$G,(Transactions!$C:$C="Buy")*(Transactions!$B:$B&lt;&gt;"")),2,1),471,4))</f>
        <v/>
      </c>
      <c r="D472">
        <f>IF(A472="","",INDEX(SORT(FILTER(Transactions!$A:$G,(Transactions!$C:$C="Buy")*(Transactions!$B:$B&lt;&gt;"")),2,1),471,5))</f>
        <v/>
      </c>
      <c r="E472">
        <f>IF(C472="","",C472*D472)</f>
        <v/>
      </c>
      <c r="F472">
        <f>IF(A472="","",SUMIFS(C$2:C472,A$2:A472,A472,B$2:B472,"&lt;="&amp;B472))</f>
        <v/>
      </c>
      <c r="G472">
        <f>IF(A472="","",SUMIFS(Transactions!$D:$D,Transactions!$B:$B,A472,Transactions!$C:$C,"Sell"))</f>
        <v/>
      </c>
      <c r="H472">
        <f>IF(A472="","",MAX(0,MIN(C472,G472-SUM(H$2:H471))))</f>
        <v/>
      </c>
      <c r="I472">
        <f>IF(C472="","",C472-H472)</f>
        <v/>
      </c>
      <c r="J472">
        <f>IF(I472="","",I472*D472)</f>
        <v/>
      </c>
    </row>
    <row r="473">
      <c r="A473">
        <f>IFERROR(INDEX(SORT(FILTER(Transactions!$B:$B,(Transactions!$C:$C="Buy")*(Transactions!$B:$B&lt;&gt;"")),1,1),472),"")</f>
        <v/>
      </c>
      <c r="B473">
        <f>IF(A473="","",INDEX(SORT(FILTER(Transactions!$A:$G,(Transactions!$C:$C="Buy")*(Transactions!$B:$B&lt;&gt;"")),2,1),472,1))</f>
        <v/>
      </c>
      <c r="C473">
        <f>IF(A473="","",INDEX(SORT(FILTER(Transactions!$A:$G,(Transactions!$C:$C="Buy")*(Transactions!$B:$B&lt;&gt;"")),2,1),472,4))</f>
        <v/>
      </c>
      <c r="D473">
        <f>IF(A473="","",INDEX(SORT(FILTER(Transactions!$A:$G,(Transactions!$C:$C="Buy")*(Transactions!$B:$B&lt;&gt;"")),2,1),472,5))</f>
        <v/>
      </c>
      <c r="E473">
        <f>IF(C473="","",C473*D473)</f>
        <v/>
      </c>
      <c r="F473">
        <f>IF(A473="","",SUMIFS(C$2:C473,A$2:A473,A473,B$2:B473,"&lt;="&amp;B473))</f>
        <v/>
      </c>
      <c r="G473">
        <f>IF(A473="","",SUMIFS(Transactions!$D:$D,Transactions!$B:$B,A473,Transactions!$C:$C,"Sell"))</f>
        <v/>
      </c>
      <c r="H473">
        <f>IF(A473="","",MAX(0,MIN(C473,G473-SUM(H$2:H472))))</f>
        <v/>
      </c>
      <c r="I473">
        <f>IF(C473="","",C473-H473)</f>
        <v/>
      </c>
      <c r="J473">
        <f>IF(I473="","",I473*D473)</f>
        <v/>
      </c>
    </row>
    <row r="474">
      <c r="A474">
        <f>IFERROR(INDEX(SORT(FILTER(Transactions!$B:$B,(Transactions!$C:$C="Buy")*(Transactions!$B:$B&lt;&gt;"")),1,1),473),"")</f>
        <v/>
      </c>
      <c r="B474">
        <f>IF(A474="","",INDEX(SORT(FILTER(Transactions!$A:$G,(Transactions!$C:$C="Buy")*(Transactions!$B:$B&lt;&gt;"")),2,1),473,1))</f>
        <v/>
      </c>
      <c r="C474">
        <f>IF(A474="","",INDEX(SORT(FILTER(Transactions!$A:$G,(Transactions!$C:$C="Buy")*(Transactions!$B:$B&lt;&gt;"")),2,1),473,4))</f>
        <v/>
      </c>
      <c r="D474">
        <f>IF(A474="","",INDEX(SORT(FILTER(Transactions!$A:$G,(Transactions!$C:$C="Buy")*(Transactions!$B:$B&lt;&gt;"")),2,1),473,5))</f>
        <v/>
      </c>
      <c r="E474">
        <f>IF(C474="","",C474*D474)</f>
        <v/>
      </c>
      <c r="F474">
        <f>IF(A474="","",SUMIFS(C$2:C474,A$2:A474,A474,B$2:B474,"&lt;="&amp;B474))</f>
        <v/>
      </c>
      <c r="G474">
        <f>IF(A474="","",SUMIFS(Transactions!$D:$D,Transactions!$B:$B,A474,Transactions!$C:$C,"Sell"))</f>
        <v/>
      </c>
      <c r="H474">
        <f>IF(A474="","",MAX(0,MIN(C474,G474-SUM(H$2:H473))))</f>
        <v/>
      </c>
      <c r="I474">
        <f>IF(C474="","",C474-H474)</f>
        <v/>
      </c>
      <c r="J474">
        <f>IF(I474="","",I474*D474)</f>
        <v/>
      </c>
    </row>
    <row r="475">
      <c r="A475">
        <f>IFERROR(INDEX(SORT(FILTER(Transactions!$B:$B,(Transactions!$C:$C="Buy")*(Transactions!$B:$B&lt;&gt;"")),1,1),474),"")</f>
        <v/>
      </c>
      <c r="B475">
        <f>IF(A475="","",INDEX(SORT(FILTER(Transactions!$A:$G,(Transactions!$C:$C="Buy")*(Transactions!$B:$B&lt;&gt;"")),2,1),474,1))</f>
        <v/>
      </c>
      <c r="C475">
        <f>IF(A475="","",INDEX(SORT(FILTER(Transactions!$A:$G,(Transactions!$C:$C="Buy")*(Transactions!$B:$B&lt;&gt;"")),2,1),474,4))</f>
        <v/>
      </c>
      <c r="D475">
        <f>IF(A475="","",INDEX(SORT(FILTER(Transactions!$A:$G,(Transactions!$C:$C="Buy")*(Transactions!$B:$B&lt;&gt;"")),2,1),474,5))</f>
        <v/>
      </c>
      <c r="E475">
        <f>IF(C475="","",C475*D475)</f>
        <v/>
      </c>
      <c r="F475">
        <f>IF(A475="","",SUMIFS(C$2:C475,A$2:A475,A475,B$2:B475,"&lt;="&amp;B475))</f>
        <v/>
      </c>
      <c r="G475">
        <f>IF(A475="","",SUMIFS(Transactions!$D:$D,Transactions!$B:$B,A475,Transactions!$C:$C,"Sell"))</f>
        <v/>
      </c>
      <c r="H475">
        <f>IF(A475="","",MAX(0,MIN(C475,G475-SUM(H$2:H474))))</f>
        <v/>
      </c>
      <c r="I475">
        <f>IF(C475="","",C475-H475)</f>
        <v/>
      </c>
      <c r="J475">
        <f>IF(I475="","",I475*D475)</f>
        <v/>
      </c>
    </row>
    <row r="476">
      <c r="A476">
        <f>IFERROR(INDEX(SORT(FILTER(Transactions!$B:$B,(Transactions!$C:$C="Buy")*(Transactions!$B:$B&lt;&gt;"")),1,1),475),"")</f>
        <v/>
      </c>
      <c r="B476">
        <f>IF(A476="","",INDEX(SORT(FILTER(Transactions!$A:$G,(Transactions!$C:$C="Buy")*(Transactions!$B:$B&lt;&gt;"")),2,1),475,1))</f>
        <v/>
      </c>
      <c r="C476">
        <f>IF(A476="","",INDEX(SORT(FILTER(Transactions!$A:$G,(Transactions!$C:$C="Buy")*(Transactions!$B:$B&lt;&gt;"")),2,1),475,4))</f>
        <v/>
      </c>
      <c r="D476">
        <f>IF(A476="","",INDEX(SORT(FILTER(Transactions!$A:$G,(Transactions!$C:$C="Buy")*(Transactions!$B:$B&lt;&gt;"")),2,1),475,5))</f>
        <v/>
      </c>
      <c r="E476">
        <f>IF(C476="","",C476*D476)</f>
        <v/>
      </c>
      <c r="F476">
        <f>IF(A476="","",SUMIFS(C$2:C476,A$2:A476,A476,B$2:B476,"&lt;="&amp;B476))</f>
        <v/>
      </c>
      <c r="G476">
        <f>IF(A476="","",SUMIFS(Transactions!$D:$D,Transactions!$B:$B,A476,Transactions!$C:$C,"Sell"))</f>
        <v/>
      </c>
      <c r="H476">
        <f>IF(A476="","",MAX(0,MIN(C476,G476-SUM(H$2:H475))))</f>
        <v/>
      </c>
      <c r="I476">
        <f>IF(C476="","",C476-H476)</f>
        <v/>
      </c>
      <c r="J476">
        <f>IF(I476="","",I476*D476)</f>
        <v/>
      </c>
    </row>
    <row r="477">
      <c r="A477">
        <f>IFERROR(INDEX(SORT(FILTER(Transactions!$B:$B,(Transactions!$C:$C="Buy")*(Transactions!$B:$B&lt;&gt;"")),1,1),476),"")</f>
        <v/>
      </c>
      <c r="B477">
        <f>IF(A477="","",INDEX(SORT(FILTER(Transactions!$A:$G,(Transactions!$C:$C="Buy")*(Transactions!$B:$B&lt;&gt;"")),2,1),476,1))</f>
        <v/>
      </c>
      <c r="C477">
        <f>IF(A477="","",INDEX(SORT(FILTER(Transactions!$A:$G,(Transactions!$C:$C="Buy")*(Transactions!$B:$B&lt;&gt;"")),2,1),476,4))</f>
        <v/>
      </c>
      <c r="D477">
        <f>IF(A477="","",INDEX(SORT(FILTER(Transactions!$A:$G,(Transactions!$C:$C="Buy")*(Transactions!$B:$B&lt;&gt;"")),2,1),476,5))</f>
        <v/>
      </c>
      <c r="E477">
        <f>IF(C477="","",C477*D477)</f>
        <v/>
      </c>
      <c r="F477">
        <f>IF(A477="","",SUMIFS(C$2:C477,A$2:A477,A477,B$2:B477,"&lt;="&amp;B477))</f>
        <v/>
      </c>
      <c r="G477">
        <f>IF(A477="","",SUMIFS(Transactions!$D:$D,Transactions!$B:$B,A477,Transactions!$C:$C,"Sell"))</f>
        <v/>
      </c>
      <c r="H477">
        <f>IF(A477="","",MAX(0,MIN(C477,G477-SUM(H$2:H476))))</f>
        <v/>
      </c>
      <c r="I477">
        <f>IF(C477="","",C477-H477)</f>
        <v/>
      </c>
      <c r="J477">
        <f>IF(I477="","",I477*D477)</f>
        <v/>
      </c>
    </row>
    <row r="478">
      <c r="A478">
        <f>IFERROR(INDEX(SORT(FILTER(Transactions!$B:$B,(Transactions!$C:$C="Buy")*(Transactions!$B:$B&lt;&gt;"")),1,1),477),"")</f>
        <v/>
      </c>
      <c r="B478">
        <f>IF(A478="","",INDEX(SORT(FILTER(Transactions!$A:$G,(Transactions!$C:$C="Buy")*(Transactions!$B:$B&lt;&gt;"")),2,1),477,1))</f>
        <v/>
      </c>
      <c r="C478">
        <f>IF(A478="","",INDEX(SORT(FILTER(Transactions!$A:$G,(Transactions!$C:$C="Buy")*(Transactions!$B:$B&lt;&gt;"")),2,1),477,4))</f>
        <v/>
      </c>
      <c r="D478">
        <f>IF(A478="","",INDEX(SORT(FILTER(Transactions!$A:$G,(Transactions!$C:$C="Buy")*(Transactions!$B:$B&lt;&gt;"")),2,1),477,5))</f>
        <v/>
      </c>
      <c r="E478">
        <f>IF(C478="","",C478*D478)</f>
        <v/>
      </c>
      <c r="F478">
        <f>IF(A478="","",SUMIFS(C$2:C478,A$2:A478,A478,B$2:B478,"&lt;="&amp;B478))</f>
        <v/>
      </c>
      <c r="G478">
        <f>IF(A478="","",SUMIFS(Transactions!$D:$D,Transactions!$B:$B,A478,Transactions!$C:$C,"Sell"))</f>
        <v/>
      </c>
      <c r="H478">
        <f>IF(A478="","",MAX(0,MIN(C478,G478-SUM(H$2:H477))))</f>
        <v/>
      </c>
      <c r="I478">
        <f>IF(C478="","",C478-H478)</f>
        <v/>
      </c>
      <c r="J478">
        <f>IF(I478="","",I478*D478)</f>
        <v/>
      </c>
    </row>
    <row r="479">
      <c r="A479">
        <f>IFERROR(INDEX(SORT(FILTER(Transactions!$B:$B,(Transactions!$C:$C="Buy")*(Transactions!$B:$B&lt;&gt;"")),1,1),478),"")</f>
        <v/>
      </c>
      <c r="B479">
        <f>IF(A479="","",INDEX(SORT(FILTER(Transactions!$A:$G,(Transactions!$C:$C="Buy")*(Transactions!$B:$B&lt;&gt;"")),2,1),478,1))</f>
        <v/>
      </c>
      <c r="C479">
        <f>IF(A479="","",INDEX(SORT(FILTER(Transactions!$A:$G,(Transactions!$C:$C="Buy")*(Transactions!$B:$B&lt;&gt;"")),2,1),478,4))</f>
        <v/>
      </c>
      <c r="D479">
        <f>IF(A479="","",INDEX(SORT(FILTER(Transactions!$A:$G,(Transactions!$C:$C="Buy")*(Transactions!$B:$B&lt;&gt;"")),2,1),478,5))</f>
        <v/>
      </c>
      <c r="E479">
        <f>IF(C479="","",C479*D479)</f>
        <v/>
      </c>
      <c r="F479">
        <f>IF(A479="","",SUMIFS(C$2:C479,A$2:A479,A479,B$2:B479,"&lt;="&amp;B479))</f>
        <v/>
      </c>
      <c r="G479">
        <f>IF(A479="","",SUMIFS(Transactions!$D:$D,Transactions!$B:$B,A479,Transactions!$C:$C,"Sell"))</f>
        <v/>
      </c>
      <c r="H479">
        <f>IF(A479="","",MAX(0,MIN(C479,G479-SUM(H$2:H478))))</f>
        <v/>
      </c>
      <c r="I479">
        <f>IF(C479="","",C479-H479)</f>
        <v/>
      </c>
      <c r="J479">
        <f>IF(I479="","",I479*D479)</f>
        <v/>
      </c>
    </row>
    <row r="480">
      <c r="A480">
        <f>IFERROR(INDEX(SORT(FILTER(Transactions!$B:$B,(Transactions!$C:$C="Buy")*(Transactions!$B:$B&lt;&gt;"")),1,1),479),"")</f>
        <v/>
      </c>
      <c r="B480">
        <f>IF(A480="","",INDEX(SORT(FILTER(Transactions!$A:$G,(Transactions!$C:$C="Buy")*(Transactions!$B:$B&lt;&gt;"")),2,1),479,1))</f>
        <v/>
      </c>
      <c r="C480">
        <f>IF(A480="","",INDEX(SORT(FILTER(Transactions!$A:$G,(Transactions!$C:$C="Buy")*(Transactions!$B:$B&lt;&gt;"")),2,1),479,4))</f>
        <v/>
      </c>
      <c r="D480">
        <f>IF(A480="","",INDEX(SORT(FILTER(Transactions!$A:$G,(Transactions!$C:$C="Buy")*(Transactions!$B:$B&lt;&gt;"")),2,1),479,5))</f>
        <v/>
      </c>
      <c r="E480">
        <f>IF(C480="","",C480*D480)</f>
        <v/>
      </c>
      <c r="F480">
        <f>IF(A480="","",SUMIFS(C$2:C480,A$2:A480,A480,B$2:B480,"&lt;="&amp;B480))</f>
        <v/>
      </c>
      <c r="G480">
        <f>IF(A480="","",SUMIFS(Transactions!$D:$D,Transactions!$B:$B,A480,Transactions!$C:$C,"Sell"))</f>
        <v/>
      </c>
      <c r="H480">
        <f>IF(A480="","",MAX(0,MIN(C480,G480-SUM(H$2:H479))))</f>
        <v/>
      </c>
      <c r="I480">
        <f>IF(C480="","",C480-H480)</f>
        <v/>
      </c>
      <c r="J480">
        <f>IF(I480="","",I480*D480)</f>
        <v/>
      </c>
    </row>
    <row r="481">
      <c r="A481">
        <f>IFERROR(INDEX(SORT(FILTER(Transactions!$B:$B,(Transactions!$C:$C="Buy")*(Transactions!$B:$B&lt;&gt;"")),1,1),480),"")</f>
        <v/>
      </c>
      <c r="B481">
        <f>IF(A481="","",INDEX(SORT(FILTER(Transactions!$A:$G,(Transactions!$C:$C="Buy")*(Transactions!$B:$B&lt;&gt;"")),2,1),480,1))</f>
        <v/>
      </c>
      <c r="C481">
        <f>IF(A481="","",INDEX(SORT(FILTER(Transactions!$A:$G,(Transactions!$C:$C="Buy")*(Transactions!$B:$B&lt;&gt;"")),2,1),480,4))</f>
        <v/>
      </c>
      <c r="D481">
        <f>IF(A481="","",INDEX(SORT(FILTER(Transactions!$A:$G,(Transactions!$C:$C="Buy")*(Transactions!$B:$B&lt;&gt;"")),2,1),480,5))</f>
        <v/>
      </c>
      <c r="E481">
        <f>IF(C481="","",C481*D481)</f>
        <v/>
      </c>
      <c r="F481">
        <f>IF(A481="","",SUMIFS(C$2:C481,A$2:A481,A481,B$2:B481,"&lt;="&amp;B481))</f>
        <v/>
      </c>
      <c r="G481">
        <f>IF(A481="","",SUMIFS(Transactions!$D:$D,Transactions!$B:$B,A481,Transactions!$C:$C,"Sell"))</f>
        <v/>
      </c>
      <c r="H481">
        <f>IF(A481="","",MAX(0,MIN(C481,G481-SUM(H$2:H480))))</f>
        <v/>
      </c>
      <c r="I481">
        <f>IF(C481="","",C481-H481)</f>
        <v/>
      </c>
      <c r="J481">
        <f>IF(I481="","",I481*D481)</f>
        <v/>
      </c>
    </row>
    <row r="482">
      <c r="A482">
        <f>IFERROR(INDEX(SORT(FILTER(Transactions!$B:$B,(Transactions!$C:$C="Buy")*(Transactions!$B:$B&lt;&gt;"")),1,1),481),"")</f>
        <v/>
      </c>
      <c r="B482">
        <f>IF(A482="","",INDEX(SORT(FILTER(Transactions!$A:$G,(Transactions!$C:$C="Buy")*(Transactions!$B:$B&lt;&gt;"")),2,1),481,1))</f>
        <v/>
      </c>
      <c r="C482">
        <f>IF(A482="","",INDEX(SORT(FILTER(Transactions!$A:$G,(Transactions!$C:$C="Buy")*(Transactions!$B:$B&lt;&gt;"")),2,1),481,4))</f>
        <v/>
      </c>
      <c r="D482">
        <f>IF(A482="","",INDEX(SORT(FILTER(Transactions!$A:$G,(Transactions!$C:$C="Buy")*(Transactions!$B:$B&lt;&gt;"")),2,1),481,5))</f>
        <v/>
      </c>
      <c r="E482">
        <f>IF(C482="","",C482*D482)</f>
        <v/>
      </c>
      <c r="F482">
        <f>IF(A482="","",SUMIFS(C$2:C482,A$2:A482,A482,B$2:B482,"&lt;="&amp;B482))</f>
        <v/>
      </c>
      <c r="G482">
        <f>IF(A482="","",SUMIFS(Transactions!$D:$D,Transactions!$B:$B,A482,Transactions!$C:$C,"Sell"))</f>
        <v/>
      </c>
      <c r="H482">
        <f>IF(A482="","",MAX(0,MIN(C482,G482-SUM(H$2:H481))))</f>
        <v/>
      </c>
      <c r="I482">
        <f>IF(C482="","",C482-H482)</f>
        <v/>
      </c>
      <c r="J482">
        <f>IF(I482="","",I482*D482)</f>
        <v/>
      </c>
    </row>
    <row r="483">
      <c r="A483">
        <f>IFERROR(INDEX(SORT(FILTER(Transactions!$B:$B,(Transactions!$C:$C="Buy")*(Transactions!$B:$B&lt;&gt;"")),1,1),482),"")</f>
        <v/>
      </c>
      <c r="B483">
        <f>IF(A483="","",INDEX(SORT(FILTER(Transactions!$A:$G,(Transactions!$C:$C="Buy")*(Transactions!$B:$B&lt;&gt;"")),2,1),482,1))</f>
        <v/>
      </c>
      <c r="C483">
        <f>IF(A483="","",INDEX(SORT(FILTER(Transactions!$A:$G,(Transactions!$C:$C="Buy")*(Transactions!$B:$B&lt;&gt;"")),2,1),482,4))</f>
        <v/>
      </c>
      <c r="D483">
        <f>IF(A483="","",INDEX(SORT(FILTER(Transactions!$A:$G,(Transactions!$C:$C="Buy")*(Transactions!$B:$B&lt;&gt;"")),2,1),482,5))</f>
        <v/>
      </c>
      <c r="E483">
        <f>IF(C483="","",C483*D483)</f>
        <v/>
      </c>
      <c r="F483">
        <f>IF(A483="","",SUMIFS(C$2:C483,A$2:A483,A483,B$2:B483,"&lt;="&amp;B483))</f>
        <v/>
      </c>
      <c r="G483">
        <f>IF(A483="","",SUMIFS(Transactions!$D:$D,Transactions!$B:$B,A483,Transactions!$C:$C,"Sell"))</f>
        <v/>
      </c>
      <c r="H483">
        <f>IF(A483="","",MAX(0,MIN(C483,G483-SUM(H$2:H482))))</f>
        <v/>
      </c>
      <c r="I483">
        <f>IF(C483="","",C483-H483)</f>
        <v/>
      </c>
      <c r="J483">
        <f>IF(I483="","",I483*D483)</f>
        <v/>
      </c>
    </row>
    <row r="484">
      <c r="A484">
        <f>IFERROR(INDEX(SORT(FILTER(Transactions!$B:$B,(Transactions!$C:$C="Buy")*(Transactions!$B:$B&lt;&gt;"")),1,1),483),"")</f>
        <v/>
      </c>
      <c r="B484">
        <f>IF(A484="","",INDEX(SORT(FILTER(Transactions!$A:$G,(Transactions!$C:$C="Buy")*(Transactions!$B:$B&lt;&gt;"")),2,1),483,1))</f>
        <v/>
      </c>
      <c r="C484">
        <f>IF(A484="","",INDEX(SORT(FILTER(Transactions!$A:$G,(Transactions!$C:$C="Buy")*(Transactions!$B:$B&lt;&gt;"")),2,1),483,4))</f>
        <v/>
      </c>
      <c r="D484">
        <f>IF(A484="","",INDEX(SORT(FILTER(Transactions!$A:$G,(Transactions!$C:$C="Buy")*(Transactions!$B:$B&lt;&gt;"")),2,1),483,5))</f>
        <v/>
      </c>
      <c r="E484">
        <f>IF(C484="","",C484*D484)</f>
        <v/>
      </c>
      <c r="F484">
        <f>IF(A484="","",SUMIFS(C$2:C484,A$2:A484,A484,B$2:B484,"&lt;="&amp;B484))</f>
        <v/>
      </c>
      <c r="G484">
        <f>IF(A484="","",SUMIFS(Transactions!$D:$D,Transactions!$B:$B,A484,Transactions!$C:$C,"Sell"))</f>
        <v/>
      </c>
      <c r="H484">
        <f>IF(A484="","",MAX(0,MIN(C484,G484-SUM(H$2:H483))))</f>
        <v/>
      </c>
      <c r="I484">
        <f>IF(C484="","",C484-H484)</f>
        <v/>
      </c>
      <c r="J484">
        <f>IF(I484="","",I484*D484)</f>
        <v/>
      </c>
    </row>
    <row r="485">
      <c r="A485">
        <f>IFERROR(INDEX(SORT(FILTER(Transactions!$B:$B,(Transactions!$C:$C="Buy")*(Transactions!$B:$B&lt;&gt;"")),1,1),484),"")</f>
        <v/>
      </c>
      <c r="B485">
        <f>IF(A485="","",INDEX(SORT(FILTER(Transactions!$A:$G,(Transactions!$C:$C="Buy")*(Transactions!$B:$B&lt;&gt;"")),2,1),484,1))</f>
        <v/>
      </c>
      <c r="C485">
        <f>IF(A485="","",INDEX(SORT(FILTER(Transactions!$A:$G,(Transactions!$C:$C="Buy")*(Transactions!$B:$B&lt;&gt;"")),2,1),484,4))</f>
        <v/>
      </c>
      <c r="D485">
        <f>IF(A485="","",INDEX(SORT(FILTER(Transactions!$A:$G,(Transactions!$C:$C="Buy")*(Transactions!$B:$B&lt;&gt;"")),2,1),484,5))</f>
        <v/>
      </c>
      <c r="E485">
        <f>IF(C485="","",C485*D485)</f>
        <v/>
      </c>
      <c r="F485">
        <f>IF(A485="","",SUMIFS(C$2:C485,A$2:A485,A485,B$2:B485,"&lt;="&amp;B485))</f>
        <v/>
      </c>
      <c r="G485">
        <f>IF(A485="","",SUMIFS(Transactions!$D:$D,Transactions!$B:$B,A485,Transactions!$C:$C,"Sell"))</f>
        <v/>
      </c>
      <c r="H485">
        <f>IF(A485="","",MAX(0,MIN(C485,G485-SUM(H$2:H484))))</f>
        <v/>
      </c>
      <c r="I485">
        <f>IF(C485="","",C485-H485)</f>
        <v/>
      </c>
      <c r="J485">
        <f>IF(I485="","",I485*D485)</f>
        <v/>
      </c>
    </row>
    <row r="486">
      <c r="A486">
        <f>IFERROR(INDEX(SORT(FILTER(Transactions!$B:$B,(Transactions!$C:$C="Buy")*(Transactions!$B:$B&lt;&gt;"")),1,1),485),"")</f>
        <v/>
      </c>
      <c r="B486">
        <f>IF(A486="","",INDEX(SORT(FILTER(Transactions!$A:$G,(Transactions!$C:$C="Buy")*(Transactions!$B:$B&lt;&gt;"")),2,1),485,1))</f>
        <v/>
      </c>
      <c r="C486">
        <f>IF(A486="","",INDEX(SORT(FILTER(Transactions!$A:$G,(Transactions!$C:$C="Buy")*(Transactions!$B:$B&lt;&gt;"")),2,1),485,4))</f>
        <v/>
      </c>
      <c r="D486">
        <f>IF(A486="","",INDEX(SORT(FILTER(Transactions!$A:$G,(Transactions!$C:$C="Buy")*(Transactions!$B:$B&lt;&gt;"")),2,1),485,5))</f>
        <v/>
      </c>
      <c r="E486">
        <f>IF(C486="","",C486*D486)</f>
        <v/>
      </c>
      <c r="F486">
        <f>IF(A486="","",SUMIFS(C$2:C486,A$2:A486,A486,B$2:B486,"&lt;="&amp;B486))</f>
        <v/>
      </c>
      <c r="G486">
        <f>IF(A486="","",SUMIFS(Transactions!$D:$D,Transactions!$B:$B,A486,Transactions!$C:$C,"Sell"))</f>
        <v/>
      </c>
      <c r="H486">
        <f>IF(A486="","",MAX(0,MIN(C486,G486-SUM(H$2:H485))))</f>
        <v/>
      </c>
      <c r="I486">
        <f>IF(C486="","",C486-H486)</f>
        <v/>
      </c>
      <c r="J486">
        <f>IF(I486="","",I486*D486)</f>
        <v/>
      </c>
    </row>
    <row r="487">
      <c r="A487">
        <f>IFERROR(INDEX(SORT(FILTER(Transactions!$B:$B,(Transactions!$C:$C="Buy")*(Transactions!$B:$B&lt;&gt;"")),1,1),486),"")</f>
        <v/>
      </c>
      <c r="B487">
        <f>IF(A487="","",INDEX(SORT(FILTER(Transactions!$A:$G,(Transactions!$C:$C="Buy")*(Transactions!$B:$B&lt;&gt;"")),2,1),486,1))</f>
        <v/>
      </c>
      <c r="C487">
        <f>IF(A487="","",INDEX(SORT(FILTER(Transactions!$A:$G,(Transactions!$C:$C="Buy")*(Transactions!$B:$B&lt;&gt;"")),2,1),486,4))</f>
        <v/>
      </c>
      <c r="D487">
        <f>IF(A487="","",INDEX(SORT(FILTER(Transactions!$A:$G,(Transactions!$C:$C="Buy")*(Transactions!$B:$B&lt;&gt;"")),2,1),486,5))</f>
        <v/>
      </c>
      <c r="E487">
        <f>IF(C487="","",C487*D487)</f>
        <v/>
      </c>
      <c r="F487">
        <f>IF(A487="","",SUMIFS(C$2:C487,A$2:A487,A487,B$2:B487,"&lt;="&amp;B487))</f>
        <v/>
      </c>
      <c r="G487">
        <f>IF(A487="","",SUMIFS(Transactions!$D:$D,Transactions!$B:$B,A487,Transactions!$C:$C,"Sell"))</f>
        <v/>
      </c>
      <c r="H487">
        <f>IF(A487="","",MAX(0,MIN(C487,G487-SUM(H$2:H486))))</f>
        <v/>
      </c>
      <c r="I487">
        <f>IF(C487="","",C487-H487)</f>
        <v/>
      </c>
      <c r="J487">
        <f>IF(I487="","",I487*D487)</f>
        <v/>
      </c>
    </row>
    <row r="488">
      <c r="A488">
        <f>IFERROR(INDEX(SORT(FILTER(Transactions!$B:$B,(Transactions!$C:$C="Buy")*(Transactions!$B:$B&lt;&gt;"")),1,1),487),"")</f>
        <v/>
      </c>
      <c r="B488">
        <f>IF(A488="","",INDEX(SORT(FILTER(Transactions!$A:$G,(Transactions!$C:$C="Buy")*(Transactions!$B:$B&lt;&gt;"")),2,1),487,1))</f>
        <v/>
      </c>
      <c r="C488">
        <f>IF(A488="","",INDEX(SORT(FILTER(Transactions!$A:$G,(Transactions!$C:$C="Buy")*(Transactions!$B:$B&lt;&gt;"")),2,1),487,4))</f>
        <v/>
      </c>
      <c r="D488">
        <f>IF(A488="","",INDEX(SORT(FILTER(Transactions!$A:$G,(Transactions!$C:$C="Buy")*(Transactions!$B:$B&lt;&gt;"")),2,1),487,5))</f>
        <v/>
      </c>
      <c r="E488">
        <f>IF(C488="","",C488*D488)</f>
        <v/>
      </c>
      <c r="F488">
        <f>IF(A488="","",SUMIFS(C$2:C488,A$2:A488,A488,B$2:B488,"&lt;="&amp;B488))</f>
        <v/>
      </c>
      <c r="G488">
        <f>IF(A488="","",SUMIFS(Transactions!$D:$D,Transactions!$B:$B,A488,Transactions!$C:$C,"Sell"))</f>
        <v/>
      </c>
      <c r="H488">
        <f>IF(A488="","",MAX(0,MIN(C488,G488-SUM(H$2:H487))))</f>
        <v/>
      </c>
      <c r="I488">
        <f>IF(C488="","",C488-H488)</f>
        <v/>
      </c>
      <c r="J488">
        <f>IF(I488="","",I488*D488)</f>
        <v/>
      </c>
    </row>
    <row r="489">
      <c r="A489">
        <f>IFERROR(INDEX(SORT(FILTER(Transactions!$B:$B,(Transactions!$C:$C="Buy")*(Transactions!$B:$B&lt;&gt;"")),1,1),488),"")</f>
        <v/>
      </c>
      <c r="B489">
        <f>IF(A489="","",INDEX(SORT(FILTER(Transactions!$A:$G,(Transactions!$C:$C="Buy")*(Transactions!$B:$B&lt;&gt;"")),2,1),488,1))</f>
        <v/>
      </c>
      <c r="C489">
        <f>IF(A489="","",INDEX(SORT(FILTER(Transactions!$A:$G,(Transactions!$C:$C="Buy")*(Transactions!$B:$B&lt;&gt;"")),2,1),488,4))</f>
        <v/>
      </c>
      <c r="D489">
        <f>IF(A489="","",INDEX(SORT(FILTER(Transactions!$A:$G,(Transactions!$C:$C="Buy")*(Transactions!$B:$B&lt;&gt;"")),2,1),488,5))</f>
        <v/>
      </c>
      <c r="E489">
        <f>IF(C489="","",C489*D489)</f>
        <v/>
      </c>
      <c r="F489">
        <f>IF(A489="","",SUMIFS(C$2:C489,A$2:A489,A489,B$2:B489,"&lt;="&amp;B489))</f>
        <v/>
      </c>
      <c r="G489">
        <f>IF(A489="","",SUMIFS(Transactions!$D:$D,Transactions!$B:$B,A489,Transactions!$C:$C,"Sell"))</f>
        <v/>
      </c>
      <c r="H489">
        <f>IF(A489="","",MAX(0,MIN(C489,G489-SUM(H$2:H488))))</f>
        <v/>
      </c>
      <c r="I489">
        <f>IF(C489="","",C489-H489)</f>
        <v/>
      </c>
      <c r="J489">
        <f>IF(I489="","",I489*D489)</f>
        <v/>
      </c>
    </row>
    <row r="490">
      <c r="A490">
        <f>IFERROR(INDEX(SORT(FILTER(Transactions!$B:$B,(Transactions!$C:$C="Buy")*(Transactions!$B:$B&lt;&gt;"")),1,1),489),"")</f>
        <v/>
      </c>
      <c r="B490">
        <f>IF(A490="","",INDEX(SORT(FILTER(Transactions!$A:$G,(Transactions!$C:$C="Buy")*(Transactions!$B:$B&lt;&gt;"")),2,1),489,1))</f>
        <v/>
      </c>
      <c r="C490">
        <f>IF(A490="","",INDEX(SORT(FILTER(Transactions!$A:$G,(Transactions!$C:$C="Buy")*(Transactions!$B:$B&lt;&gt;"")),2,1),489,4))</f>
        <v/>
      </c>
      <c r="D490">
        <f>IF(A490="","",INDEX(SORT(FILTER(Transactions!$A:$G,(Transactions!$C:$C="Buy")*(Transactions!$B:$B&lt;&gt;"")),2,1),489,5))</f>
        <v/>
      </c>
      <c r="E490">
        <f>IF(C490="","",C490*D490)</f>
        <v/>
      </c>
      <c r="F490">
        <f>IF(A490="","",SUMIFS(C$2:C490,A$2:A490,A490,B$2:B490,"&lt;="&amp;B490))</f>
        <v/>
      </c>
      <c r="G490">
        <f>IF(A490="","",SUMIFS(Transactions!$D:$D,Transactions!$B:$B,A490,Transactions!$C:$C,"Sell"))</f>
        <v/>
      </c>
      <c r="H490">
        <f>IF(A490="","",MAX(0,MIN(C490,G490-SUM(H$2:H489))))</f>
        <v/>
      </c>
      <c r="I490">
        <f>IF(C490="","",C490-H490)</f>
        <v/>
      </c>
      <c r="J490">
        <f>IF(I490="","",I490*D490)</f>
        <v/>
      </c>
    </row>
    <row r="491">
      <c r="A491">
        <f>IFERROR(INDEX(SORT(FILTER(Transactions!$B:$B,(Transactions!$C:$C="Buy")*(Transactions!$B:$B&lt;&gt;"")),1,1),490),"")</f>
        <v/>
      </c>
      <c r="B491">
        <f>IF(A491="","",INDEX(SORT(FILTER(Transactions!$A:$G,(Transactions!$C:$C="Buy")*(Transactions!$B:$B&lt;&gt;"")),2,1),490,1))</f>
        <v/>
      </c>
      <c r="C491">
        <f>IF(A491="","",INDEX(SORT(FILTER(Transactions!$A:$G,(Transactions!$C:$C="Buy")*(Transactions!$B:$B&lt;&gt;"")),2,1),490,4))</f>
        <v/>
      </c>
      <c r="D491">
        <f>IF(A491="","",INDEX(SORT(FILTER(Transactions!$A:$G,(Transactions!$C:$C="Buy")*(Transactions!$B:$B&lt;&gt;"")),2,1),490,5))</f>
        <v/>
      </c>
      <c r="E491">
        <f>IF(C491="","",C491*D491)</f>
        <v/>
      </c>
      <c r="F491">
        <f>IF(A491="","",SUMIFS(C$2:C491,A$2:A491,A491,B$2:B491,"&lt;="&amp;B491))</f>
        <v/>
      </c>
      <c r="G491">
        <f>IF(A491="","",SUMIFS(Transactions!$D:$D,Transactions!$B:$B,A491,Transactions!$C:$C,"Sell"))</f>
        <v/>
      </c>
      <c r="H491">
        <f>IF(A491="","",MAX(0,MIN(C491,G491-SUM(H$2:H490))))</f>
        <v/>
      </c>
      <c r="I491">
        <f>IF(C491="","",C491-H491)</f>
        <v/>
      </c>
      <c r="J491">
        <f>IF(I491="","",I491*D491)</f>
        <v/>
      </c>
    </row>
    <row r="492">
      <c r="A492">
        <f>IFERROR(INDEX(SORT(FILTER(Transactions!$B:$B,(Transactions!$C:$C="Buy")*(Transactions!$B:$B&lt;&gt;"")),1,1),491),"")</f>
        <v/>
      </c>
      <c r="B492">
        <f>IF(A492="","",INDEX(SORT(FILTER(Transactions!$A:$G,(Transactions!$C:$C="Buy")*(Transactions!$B:$B&lt;&gt;"")),2,1),491,1))</f>
        <v/>
      </c>
      <c r="C492">
        <f>IF(A492="","",INDEX(SORT(FILTER(Transactions!$A:$G,(Transactions!$C:$C="Buy")*(Transactions!$B:$B&lt;&gt;"")),2,1),491,4))</f>
        <v/>
      </c>
      <c r="D492">
        <f>IF(A492="","",INDEX(SORT(FILTER(Transactions!$A:$G,(Transactions!$C:$C="Buy")*(Transactions!$B:$B&lt;&gt;"")),2,1),491,5))</f>
        <v/>
      </c>
      <c r="E492">
        <f>IF(C492="","",C492*D492)</f>
        <v/>
      </c>
      <c r="F492">
        <f>IF(A492="","",SUMIFS(C$2:C492,A$2:A492,A492,B$2:B492,"&lt;="&amp;B492))</f>
        <v/>
      </c>
      <c r="G492">
        <f>IF(A492="","",SUMIFS(Transactions!$D:$D,Transactions!$B:$B,A492,Transactions!$C:$C,"Sell"))</f>
        <v/>
      </c>
      <c r="H492">
        <f>IF(A492="","",MAX(0,MIN(C492,G492-SUM(H$2:H491))))</f>
        <v/>
      </c>
      <c r="I492">
        <f>IF(C492="","",C492-H492)</f>
        <v/>
      </c>
      <c r="J492">
        <f>IF(I492="","",I492*D492)</f>
        <v/>
      </c>
    </row>
    <row r="493">
      <c r="A493">
        <f>IFERROR(INDEX(SORT(FILTER(Transactions!$B:$B,(Transactions!$C:$C="Buy")*(Transactions!$B:$B&lt;&gt;"")),1,1),492),"")</f>
        <v/>
      </c>
      <c r="B493">
        <f>IF(A493="","",INDEX(SORT(FILTER(Transactions!$A:$G,(Transactions!$C:$C="Buy")*(Transactions!$B:$B&lt;&gt;"")),2,1),492,1))</f>
        <v/>
      </c>
      <c r="C493">
        <f>IF(A493="","",INDEX(SORT(FILTER(Transactions!$A:$G,(Transactions!$C:$C="Buy")*(Transactions!$B:$B&lt;&gt;"")),2,1),492,4))</f>
        <v/>
      </c>
      <c r="D493">
        <f>IF(A493="","",INDEX(SORT(FILTER(Transactions!$A:$G,(Transactions!$C:$C="Buy")*(Transactions!$B:$B&lt;&gt;"")),2,1),492,5))</f>
        <v/>
      </c>
      <c r="E493">
        <f>IF(C493="","",C493*D493)</f>
        <v/>
      </c>
      <c r="F493">
        <f>IF(A493="","",SUMIFS(C$2:C493,A$2:A493,A493,B$2:B493,"&lt;="&amp;B493))</f>
        <v/>
      </c>
      <c r="G493">
        <f>IF(A493="","",SUMIFS(Transactions!$D:$D,Transactions!$B:$B,A493,Transactions!$C:$C,"Sell"))</f>
        <v/>
      </c>
      <c r="H493">
        <f>IF(A493="","",MAX(0,MIN(C493,G493-SUM(H$2:H492))))</f>
        <v/>
      </c>
      <c r="I493">
        <f>IF(C493="","",C493-H493)</f>
        <v/>
      </c>
      <c r="J493">
        <f>IF(I493="","",I493*D493)</f>
        <v/>
      </c>
    </row>
    <row r="494">
      <c r="A494">
        <f>IFERROR(INDEX(SORT(FILTER(Transactions!$B:$B,(Transactions!$C:$C="Buy")*(Transactions!$B:$B&lt;&gt;"")),1,1),493),"")</f>
        <v/>
      </c>
      <c r="B494">
        <f>IF(A494="","",INDEX(SORT(FILTER(Transactions!$A:$G,(Transactions!$C:$C="Buy")*(Transactions!$B:$B&lt;&gt;"")),2,1),493,1))</f>
        <v/>
      </c>
      <c r="C494">
        <f>IF(A494="","",INDEX(SORT(FILTER(Transactions!$A:$G,(Transactions!$C:$C="Buy")*(Transactions!$B:$B&lt;&gt;"")),2,1),493,4))</f>
        <v/>
      </c>
      <c r="D494">
        <f>IF(A494="","",INDEX(SORT(FILTER(Transactions!$A:$G,(Transactions!$C:$C="Buy")*(Transactions!$B:$B&lt;&gt;"")),2,1),493,5))</f>
        <v/>
      </c>
      <c r="E494">
        <f>IF(C494="","",C494*D494)</f>
        <v/>
      </c>
      <c r="F494">
        <f>IF(A494="","",SUMIFS(C$2:C494,A$2:A494,A494,B$2:B494,"&lt;="&amp;B494))</f>
        <v/>
      </c>
      <c r="G494">
        <f>IF(A494="","",SUMIFS(Transactions!$D:$D,Transactions!$B:$B,A494,Transactions!$C:$C,"Sell"))</f>
        <v/>
      </c>
      <c r="H494">
        <f>IF(A494="","",MAX(0,MIN(C494,G494-SUM(H$2:H493))))</f>
        <v/>
      </c>
      <c r="I494">
        <f>IF(C494="","",C494-H494)</f>
        <v/>
      </c>
      <c r="J494">
        <f>IF(I494="","",I494*D494)</f>
        <v/>
      </c>
    </row>
    <row r="495">
      <c r="A495">
        <f>IFERROR(INDEX(SORT(FILTER(Transactions!$B:$B,(Transactions!$C:$C="Buy")*(Transactions!$B:$B&lt;&gt;"")),1,1),494),"")</f>
        <v/>
      </c>
      <c r="B495">
        <f>IF(A495="","",INDEX(SORT(FILTER(Transactions!$A:$G,(Transactions!$C:$C="Buy")*(Transactions!$B:$B&lt;&gt;"")),2,1),494,1))</f>
        <v/>
      </c>
      <c r="C495">
        <f>IF(A495="","",INDEX(SORT(FILTER(Transactions!$A:$G,(Transactions!$C:$C="Buy")*(Transactions!$B:$B&lt;&gt;"")),2,1),494,4))</f>
        <v/>
      </c>
      <c r="D495">
        <f>IF(A495="","",INDEX(SORT(FILTER(Transactions!$A:$G,(Transactions!$C:$C="Buy")*(Transactions!$B:$B&lt;&gt;"")),2,1),494,5))</f>
        <v/>
      </c>
      <c r="E495">
        <f>IF(C495="","",C495*D495)</f>
        <v/>
      </c>
      <c r="F495">
        <f>IF(A495="","",SUMIFS(C$2:C495,A$2:A495,A495,B$2:B495,"&lt;="&amp;B495))</f>
        <v/>
      </c>
      <c r="G495">
        <f>IF(A495="","",SUMIFS(Transactions!$D:$D,Transactions!$B:$B,A495,Transactions!$C:$C,"Sell"))</f>
        <v/>
      </c>
      <c r="H495">
        <f>IF(A495="","",MAX(0,MIN(C495,G495-SUM(H$2:H494))))</f>
        <v/>
      </c>
      <c r="I495">
        <f>IF(C495="","",C495-H495)</f>
        <v/>
      </c>
      <c r="J495">
        <f>IF(I495="","",I495*D495)</f>
        <v/>
      </c>
    </row>
    <row r="496">
      <c r="A496">
        <f>IFERROR(INDEX(SORT(FILTER(Transactions!$B:$B,(Transactions!$C:$C="Buy")*(Transactions!$B:$B&lt;&gt;"")),1,1),495),"")</f>
        <v/>
      </c>
      <c r="B496">
        <f>IF(A496="","",INDEX(SORT(FILTER(Transactions!$A:$G,(Transactions!$C:$C="Buy")*(Transactions!$B:$B&lt;&gt;"")),2,1),495,1))</f>
        <v/>
      </c>
      <c r="C496">
        <f>IF(A496="","",INDEX(SORT(FILTER(Transactions!$A:$G,(Transactions!$C:$C="Buy")*(Transactions!$B:$B&lt;&gt;"")),2,1),495,4))</f>
        <v/>
      </c>
      <c r="D496">
        <f>IF(A496="","",INDEX(SORT(FILTER(Transactions!$A:$G,(Transactions!$C:$C="Buy")*(Transactions!$B:$B&lt;&gt;"")),2,1),495,5))</f>
        <v/>
      </c>
      <c r="E496">
        <f>IF(C496="","",C496*D496)</f>
        <v/>
      </c>
      <c r="F496">
        <f>IF(A496="","",SUMIFS(C$2:C496,A$2:A496,A496,B$2:B496,"&lt;="&amp;B496))</f>
        <v/>
      </c>
      <c r="G496">
        <f>IF(A496="","",SUMIFS(Transactions!$D:$D,Transactions!$B:$B,A496,Transactions!$C:$C,"Sell"))</f>
        <v/>
      </c>
      <c r="H496">
        <f>IF(A496="","",MAX(0,MIN(C496,G496-SUM(H$2:H495))))</f>
        <v/>
      </c>
      <c r="I496">
        <f>IF(C496="","",C496-H496)</f>
        <v/>
      </c>
      <c r="J496">
        <f>IF(I496="","",I496*D496)</f>
        <v/>
      </c>
    </row>
    <row r="497">
      <c r="A497">
        <f>IFERROR(INDEX(SORT(FILTER(Transactions!$B:$B,(Transactions!$C:$C="Buy")*(Transactions!$B:$B&lt;&gt;"")),1,1),496),"")</f>
        <v/>
      </c>
      <c r="B497">
        <f>IF(A497="","",INDEX(SORT(FILTER(Transactions!$A:$G,(Transactions!$C:$C="Buy")*(Transactions!$B:$B&lt;&gt;"")),2,1),496,1))</f>
        <v/>
      </c>
      <c r="C497">
        <f>IF(A497="","",INDEX(SORT(FILTER(Transactions!$A:$G,(Transactions!$C:$C="Buy")*(Transactions!$B:$B&lt;&gt;"")),2,1),496,4))</f>
        <v/>
      </c>
      <c r="D497">
        <f>IF(A497="","",INDEX(SORT(FILTER(Transactions!$A:$G,(Transactions!$C:$C="Buy")*(Transactions!$B:$B&lt;&gt;"")),2,1),496,5))</f>
        <v/>
      </c>
      <c r="E497">
        <f>IF(C497="","",C497*D497)</f>
        <v/>
      </c>
      <c r="F497">
        <f>IF(A497="","",SUMIFS(C$2:C497,A$2:A497,A497,B$2:B497,"&lt;="&amp;B497))</f>
        <v/>
      </c>
      <c r="G497">
        <f>IF(A497="","",SUMIFS(Transactions!$D:$D,Transactions!$B:$B,A497,Transactions!$C:$C,"Sell"))</f>
        <v/>
      </c>
      <c r="H497">
        <f>IF(A497="","",MAX(0,MIN(C497,G497-SUM(H$2:H496))))</f>
        <v/>
      </c>
      <c r="I497">
        <f>IF(C497="","",C497-H497)</f>
        <v/>
      </c>
      <c r="J497">
        <f>IF(I497="","",I497*D497)</f>
        <v/>
      </c>
    </row>
    <row r="498">
      <c r="A498">
        <f>IFERROR(INDEX(SORT(FILTER(Transactions!$B:$B,(Transactions!$C:$C="Buy")*(Transactions!$B:$B&lt;&gt;"")),1,1),497),"")</f>
        <v/>
      </c>
      <c r="B498">
        <f>IF(A498="","",INDEX(SORT(FILTER(Transactions!$A:$G,(Transactions!$C:$C="Buy")*(Transactions!$B:$B&lt;&gt;"")),2,1),497,1))</f>
        <v/>
      </c>
      <c r="C498">
        <f>IF(A498="","",INDEX(SORT(FILTER(Transactions!$A:$G,(Transactions!$C:$C="Buy")*(Transactions!$B:$B&lt;&gt;"")),2,1),497,4))</f>
        <v/>
      </c>
      <c r="D498">
        <f>IF(A498="","",INDEX(SORT(FILTER(Transactions!$A:$G,(Transactions!$C:$C="Buy")*(Transactions!$B:$B&lt;&gt;"")),2,1),497,5))</f>
        <v/>
      </c>
      <c r="E498">
        <f>IF(C498="","",C498*D498)</f>
        <v/>
      </c>
      <c r="F498">
        <f>IF(A498="","",SUMIFS(C$2:C498,A$2:A498,A498,B$2:B498,"&lt;="&amp;B498))</f>
        <v/>
      </c>
      <c r="G498">
        <f>IF(A498="","",SUMIFS(Transactions!$D:$D,Transactions!$B:$B,A498,Transactions!$C:$C,"Sell"))</f>
        <v/>
      </c>
      <c r="H498">
        <f>IF(A498="","",MAX(0,MIN(C498,G498-SUM(H$2:H497))))</f>
        <v/>
      </c>
      <c r="I498">
        <f>IF(C498="","",C498-H498)</f>
        <v/>
      </c>
      <c r="J498">
        <f>IF(I498="","",I498*D498)</f>
        <v/>
      </c>
    </row>
    <row r="499">
      <c r="A499">
        <f>IFERROR(INDEX(SORT(FILTER(Transactions!$B:$B,(Transactions!$C:$C="Buy")*(Transactions!$B:$B&lt;&gt;"")),1,1),498),"")</f>
        <v/>
      </c>
      <c r="B499">
        <f>IF(A499="","",INDEX(SORT(FILTER(Transactions!$A:$G,(Transactions!$C:$C="Buy")*(Transactions!$B:$B&lt;&gt;"")),2,1),498,1))</f>
        <v/>
      </c>
      <c r="C499">
        <f>IF(A499="","",INDEX(SORT(FILTER(Transactions!$A:$G,(Transactions!$C:$C="Buy")*(Transactions!$B:$B&lt;&gt;"")),2,1),498,4))</f>
        <v/>
      </c>
      <c r="D499">
        <f>IF(A499="","",INDEX(SORT(FILTER(Transactions!$A:$G,(Transactions!$C:$C="Buy")*(Transactions!$B:$B&lt;&gt;"")),2,1),498,5))</f>
        <v/>
      </c>
      <c r="E499">
        <f>IF(C499="","",C499*D499)</f>
        <v/>
      </c>
      <c r="F499">
        <f>IF(A499="","",SUMIFS(C$2:C499,A$2:A499,A499,B$2:B499,"&lt;="&amp;B499))</f>
        <v/>
      </c>
      <c r="G499">
        <f>IF(A499="","",SUMIFS(Transactions!$D:$D,Transactions!$B:$B,A499,Transactions!$C:$C,"Sell"))</f>
        <v/>
      </c>
      <c r="H499">
        <f>IF(A499="","",MAX(0,MIN(C499,G499-SUM(H$2:H498))))</f>
        <v/>
      </c>
      <c r="I499">
        <f>IF(C499="","",C499-H499)</f>
        <v/>
      </c>
      <c r="J499">
        <f>IF(I499="","",I499*D499)</f>
        <v/>
      </c>
    </row>
    <row r="500">
      <c r="A500">
        <f>IFERROR(INDEX(SORT(FILTER(Transactions!$B:$B,(Transactions!$C:$C="Buy")*(Transactions!$B:$B&lt;&gt;"")),1,1),499),"")</f>
        <v/>
      </c>
      <c r="B500">
        <f>IF(A500="","",INDEX(SORT(FILTER(Transactions!$A:$G,(Transactions!$C:$C="Buy")*(Transactions!$B:$B&lt;&gt;"")),2,1),499,1))</f>
        <v/>
      </c>
      <c r="C500">
        <f>IF(A500="","",INDEX(SORT(FILTER(Transactions!$A:$G,(Transactions!$C:$C="Buy")*(Transactions!$B:$B&lt;&gt;"")),2,1),499,4))</f>
        <v/>
      </c>
      <c r="D500">
        <f>IF(A500="","",INDEX(SORT(FILTER(Transactions!$A:$G,(Transactions!$C:$C="Buy")*(Transactions!$B:$B&lt;&gt;"")),2,1),499,5))</f>
        <v/>
      </c>
      <c r="E500">
        <f>IF(C500="","",C500*D500)</f>
        <v/>
      </c>
      <c r="F500">
        <f>IF(A500="","",SUMIFS(C$2:C500,A$2:A500,A500,B$2:B500,"&lt;="&amp;B500))</f>
        <v/>
      </c>
      <c r="G500">
        <f>IF(A500="","",SUMIFS(Transactions!$D:$D,Transactions!$B:$B,A500,Transactions!$C:$C,"Sell"))</f>
        <v/>
      </c>
      <c r="H500">
        <f>IF(A500="","",MAX(0,MIN(C500,G500-SUM(H$2:H499))))</f>
        <v/>
      </c>
      <c r="I500">
        <f>IF(C500="","",C500-H500)</f>
        <v/>
      </c>
      <c r="J500">
        <f>IF(I500="","",I500*D500)</f>
        <v/>
      </c>
    </row>
    <row r="501">
      <c r="A501">
        <f>IFERROR(INDEX(SORT(FILTER(Transactions!$B:$B,(Transactions!$C:$C="Buy")*(Transactions!$B:$B&lt;&gt;"")),1,1),500),"")</f>
        <v/>
      </c>
      <c r="B501">
        <f>IF(A501="","",INDEX(SORT(FILTER(Transactions!$A:$G,(Transactions!$C:$C="Buy")*(Transactions!$B:$B&lt;&gt;"")),2,1),500,1))</f>
        <v/>
      </c>
      <c r="C501">
        <f>IF(A501="","",INDEX(SORT(FILTER(Transactions!$A:$G,(Transactions!$C:$C="Buy")*(Transactions!$B:$B&lt;&gt;"")),2,1),500,4))</f>
        <v/>
      </c>
      <c r="D501">
        <f>IF(A501="","",INDEX(SORT(FILTER(Transactions!$A:$G,(Transactions!$C:$C="Buy")*(Transactions!$B:$B&lt;&gt;"")),2,1),500,5))</f>
        <v/>
      </c>
      <c r="E501">
        <f>IF(C501="","",C501*D501)</f>
        <v/>
      </c>
      <c r="F501">
        <f>IF(A501="","",SUMIFS(C$2:C501,A$2:A501,A501,B$2:B501,"&lt;="&amp;B501))</f>
        <v/>
      </c>
      <c r="G501">
        <f>IF(A501="","",SUMIFS(Transactions!$D:$D,Transactions!$B:$B,A501,Transactions!$C:$C,"Sell"))</f>
        <v/>
      </c>
      <c r="H501">
        <f>IF(A501="","",MAX(0,MIN(C501,G501-SUM(H$2:H500))))</f>
        <v/>
      </c>
      <c r="I501">
        <f>IF(C501="","",C501-H501)</f>
        <v/>
      </c>
      <c r="J501">
        <f>IF(I501="","",I501*D501)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14" t="inlineStr">
        <is>
          <t>Stock Name</t>
        </is>
      </c>
      <c r="B1" s="14" t="inlineStr">
        <is>
          <t>Net Holding Qty</t>
        </is>
      </c>
      <c r="C1" s="14" t="inlineStr">
        <is>
          <t>Current Avg Price</t>
        </is>
      </c>
      <c r="D1" s="14" t="inlineStr">
        <is>
          <t>Total Invested Value</t>
        </is>
      </c>
      <c r="E1" s="14" t="inlineStr">
        <is>
          <t>CMP</t>
        </is>
      </c>
      <c r="F1" s="14" t="inlineStr">
        <is>
          <t>Current Value</t>
        </is>
      </c>
      <c r="G1" s="14" t="inlineStr">
        <is>
          <t>Unrealized P&amp;L</t>
        </is>
      </c>
      <c r="I1" s="15" t="inlineStr">
        <is>
          <t>Note: CMP Column</t>
        </is>
      </c>
    </row>
    <row r="2">
      <c r="A2">
        <f>IFERROR(UNIQUE(FILTER(Transactions!B:B,(Transactions!C:C="Buy")*(Transactions!B:B&lt;&gt;""))),"")</f>
        <v/>
      </c>
      <c r="B2">
        <f>IF(A2="","",SUMIFS(Transactions!D:D,Transactions!B:B,A2,Transactions!C:C,"Buy")-SUMIFS(Transactions!D:D,Transactions!B:B,A2,Transactions!C:C,"Sell"))</f>
        <v/>
      </c>
      <c r="C2">
        <f>IF(B2="","",IF(B2&lt;=0,"",SUMIFS(Transactions!G:G,Transactions!B:B,A2,Transactions!C:C,"Buy")/SUMIFS(Transactions!D:D,Transactions!B:B,A2,Transactions!C:C,"Buy")))</f>
        <v/>
      </c>
      <c r="D2">
        <f>IF(B2="","",IF(B2&lt;=0,"",B2*C2))</f>
        <v/>
      </c>
      <c r="E2" t="inlineStr"/>
      <c r="F2">
        <f>IF(E2="","",B2*E2)</f>
        <v/>
      </c>
      <c r="G2">
        <f>IF(F2="","",F2-D2)</f>
        <v/>
      </c>
      <c r="I2" s="11" t="inlineStr">
        <is>
          <t>Enter current market price manually or use Excel Stock Data Type</t>
        </is>
      </c>
    </row>
    <row r="3"/>
  </sheetData>
  <mergeCells count="1">
    <mergeCell ref="I2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>
      <c r="A1" s="16" t="inlineStr">
        <is>
          <t>Stock Name:</t>
        </is>
      </c>
      <c r="B1" s="17" t="inlineStr">
        <is>
          <t>ENTER_STOCK_NAME_HERE</t>
        </is>
      </c>
    </row>
    <row r="3">
      <c r="A3" s="18" t="inlineStr">
        <is>
          <t>Realized P&amp;L</t>
        </is>
      </c>
      <c r="B3" s="18" t="inlineStr">
        <is>
          <t>Unrealized P&amp;L</t>
        </is>
      </c>
      <c r="C3" s="18" t="inlineStr">
        <is>
          <t>Current Holding Qty</t>
        </is>
      </c>
      <c r="D3" s="18" t="inlineStr">
        <is>
          <t>Current Invested Value</t>
        </is>
      </c>
      <c r="E3" s="18" t="inlineStr">
        <is>
          <t>Average Buy Price</t>
        </is>
      </c>
    </row>
    <row r="4">
      <c r="A4" s="3">
        <f>IF(B1="ENTER_STOCK_NAME_HERE","",SUMIFS(Transactions!G:G,Transactions!B:B,B1,Transactions!C:C,"Sell")-SUMIFS(Transactions!D:D,Transactions!B:B,B1,Transactions!C:C,"Sell")*SUMIFS(Transactions!G:G,Transactions!B:B,B1,Transactions!C:C,"Buy")/SUMIFS(Transactions!D:D,Transactions!B:B,B1,Transactions!C:C,"Buy"))</f>
        <v/>
      </c>
      <c r="B4" s="3">
        <f>IF(B1="ENTER_STOCK_NAME_HERE","",INDEX(Holdings!G:G,MATCH(B1,Holdings!A:A,0)))</f>
        <v/>
      </c>
      <c r="C4" s="19">
        <f>IF(B1="ENTER_STOCK_NAME_HERE","",SUMIFS(Transactions!D:D,Transactions!B:B,B1,Transactions!C:C,"Buy")-SUMIFS(Transactions!D:D,Transactions!B:B,B1,Transactions!C:C,"Sell"))</f>
        <v/>
      </c>
      <c r="D4" s="3">
        <f>IF(B1="ENTER_STOCK_NAME_HERE","",INDEX(Holdings!D:D,MATCH(B1,Holdings!A:A,0)))</f>
        <v/>
      </c>
      <c r="E4" s="3">
        <f>IF(B1="ENTER_STOCK_NAME_HERE","",SUMIFS(Transactions!G:G,Transactions!B:B,B1,Transactions!C:C,"Buy")/SUMIFS(Transactions!D:D,Transactions!B:B,B1,Transactions!C:C,"Buy"))</f>
        <v/>
      </c>
    </row>
    <row r="6">
      <c r="A6" s="20" t="inlineStr">
        <is>
          <t>Instructions: Enter stock name in B1, then duplicate this sheet for each stock you want to track individually.</t>
        </is>
      </c>
    </row>
    <row r="7">
      <c r="A7" s="21" t="inlineStr">
        <is>
          <t>COMPLETE TRANSACTION HISTORY</t>
        </is>
      </c>
    </row>
    <row r="8">
      <c r="A8" s="22" t="inlineStr">
        <is>
          <t>Date</t>
        </is>
      </c>
      <c r="B8" s="22" t="inlineStr">
        <is>
          <t>Stock Name</t>
        </is>
      </c>
      <c r="C8" s="22" t="inlineStr">
        <is>
          <t>Type</t>
        </is>
      </c>
      <c r="D8" s="22" t="inlineStr">
        <is>
          <t>Quantity</t>
        </is>
      </c>
      <c r="E8" s="22" t="inlineStr">
        <is>
          <t>Price</t>
        </is>
      </c>
      <c r="F8" s="22" t="inlineStr">
        <is>
          <t>Brokerage/STT</t>
        </is>
      </c>
      <c r="G8" s="22" t="inlineStr">
        <is>
          <t>Total Amount</t>
        </is>
      </c>
    </row>
    <row r="9">
      <c r="A9">
        <f>IFERROR(FILTER(Transactions!A:G,Transactions!B:B=B1,"No transactions found"),"")</f>
        <v/>
      </c>
    </row>
  </sheetData>
  <mergeCells count="2">
    <mergeCell ref="A6:G6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2026-05-30T11:20:47Z</dcterms:created>
  <dcterms:modified xsi:type="dcterms:W3CDTF">2026-05-30T11:20:47Z</dcterms:modified>
</cp:coreProperties>
</file>