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nsactions" sheetId="2" state="visible" r:id="rId2"/>
    <sheet name="FIFO_Buy_Table" sheetId="3" state="visible" r:id="rId3"/>
    <sheet name="Holdings" sheetId="4" state="visible" r:id="rId4"/>
    <sheet name="Stock_Templat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.00"/>
  </numFmts>
  <fonts count="12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</font>
    <font>
      <i val="1"/>
      <color rgb="00666666"/>
      <sz val="9"/>
    </font>
    <font>
      <b val="1"/>
      <sz val="10"/>
    </font>
    <font>
      <sz val="9"/>
    </font>
    <font>
      <b val="1"/>
      <color rgb="00FF0000"/>
    </font>
    <font>
      <b val="1"/>
      <color rgb="00FFFFFF"/>
      <sz val="16"/>
    </font>
    <font>
      <b val="1"/>
      <color rgb="00FFFFFF"/>
      <sz val="10"/>
    </font>
    <font>
      <b val="1"/>
      <sz val="12"/>
    </font>
    <font>
      <b val="1"/>
      <color rgb="00FFFFFF"/>
      <sz val="12"/>
    </font>
    <font>
      <b val="1"/>
      <color rgb="00FF0000"/>
      <sz val="12"/>
    </font>
  </fonts>
  <fills count="10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203764"/>
        <bgColor rgb="00203764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  <fill>
      <patternFill patternType="solid">
        <fgColor rgb="005B9BD5"/>
        <bgColor rgb="005B9BD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164" fontId="9" fillId="7" borderId="0" applyAlignment="1" pivotButton="0" quotePrefix="0" xfId="0">
      <alignment horizontal="center" vertical="center"/>
    </xf>
    <xf numFmtId="10" fontId="9" fillId="7" borderId="0" applyAlignment="1" pivotButton="0" quotePrefix="0" xfId="0">
      <alignment horizontal="center" vertical="center"/>
    </xf>
    <xf numFmtId="0" fontId="10" fillId="3" borderId="0" pivotButton="0" quotePrefix="0" xfId="0"/>
    <xf numFmtId="0" fontId="1" fillId="3" borderId="1" applyAlignment="1" pivotButton="0" quotePrefix="0" xfId="0">
      <alignment horizontal="center" vertical="center"/>
    </xf>
    <xf numFmtId="3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9" fillId="0" borderId="0" pivotButton="0" quotePrefix="0" xfId="0"/>
    <xf numFmtId="0" fontId="11" fillId="8" borderId="0" pivotButton="0" quotePrefix="0" xfId="0"/>
    <xf numFmtId="0" fontId="8" fillId="9" borderId="0" applyAlignment="1" pivotButton="0" quotePrefix="0" xfId="0">
      <alignment horizontal="center" vertical="center"/>
    </xf>
    <xf numFmtId="3" fontId="9" fillId="7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6" borderId="0" pivotButton="0" quotePrefix="0" xfId="0"/>
    <xf numFmtId="0" fontId="1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0" customHeight="1">
      <c r="A1" s="1" t="inlineStr">
        <is>
          <t>STOCK PORTFOLIO TRACKER - FIFO METHOD</t>
        </is>
      </c>
    </row>
    <row r="3">
      <c r="A3" s="2" t="inlineStr">
        <is>
          <t>Total Invested Value</t>
        </is>
      </c>
      <c r="B3" s="2" t="inlineStr">
        <is>
          <t>Current Portfolio Value</t>
        </is>
      </c>
      <c r="C3" s="2" t="inlineStr">
        <is>
          <t>Total Realized Profit</t>
        </is>
      </c>
      <c r="D3" s="2" t="inlineStr">
        <is>
          <t>Total Unrealized Profit</t>
        </is>
      </c>
      <c r="E3" s="2" t="inlineStr">
        <is>
          <t>Overall P&amp;L</t>
        </is>
      </c>
      <c r="F3" s="2" t="inlineStr">
        <is>
          <t>Return %</t>
        </is>
      </c>
    </row>
    <row r="4">
      <c r="A4" s="3">
        <f>SUMIF(Holdings!B:B,"&gt;0",Holdings!D:D)</f>
        <v/>
      </c>
      <c r="B4" s="3">
        <f>SUMIF(Holdings!B:B,"&gt;0",Holdings!F:F)</f>
        <v/>
      </c>
      <c r="C4" s="3">
        <f>SUMIFS(Transactions!G:G,Transactions!C:C,"Sell")-SUMIF(FIFO_Buy_Table!H:H,"&gt;0",FIFO_Buy_Table!E:E)*SUMIF(FIFO_Buy_Table!H:H,"&gt;0",FIFO_Buy_Table!H:H)/SUMIF(FIFO_Buy_Table!C:C,"&gt;0",FIFO_Buy_Table!C:C)</f>
        <v/>
      </c>
      <c r="D4" s="3">
        <f>SUM(Holdings!G:G)</f>
        <v/>
      </c>
      <c r="E4" s="3">
        <f>IFERROR(C4+D4,0)</f>
        <v/>
      </c>
      <c r="F4" s="4">
        <f>IF(A4=0,0,E4/A4)</f>
        <v/>
      </c>
    </row>
    <row r="7">
      <c r="A7" s="5" t="inlineStr">
        <is>
          <t>CURRENT HOLDINGS SUMMARY</t>
        </is>
      </c>
    </row>
    <row r="9">
      <c r="A9" s="6">
        <f>Holdings!A1</f>
        <v/>
      </c>
      <c r="B9" s="6">
        <f>Holdings!B1</f>
        <v/>
      </c>
      <c r="C9" s="6">
        <f>Holdings!C1</f>
        <v/>
      </c>
      <c r="D9" s="6">
        <f>Holdings!D1</f>
        <v/>
      </c>
      <c r="E9" s="6">
        <f>Holdings!E1</f>
        <v/>
      </c>
      <c r="F9" s="6">
        <f>Holdings!F1</f>
        <v/>
      </c>
    </row>
    <row r="10">
      <c r="A10">
        <f>IFERROR(Holdings!A2,"")</f>
        <v/>
      </c>
      <c r="B10" s="7">
        <f>IFERROR(Holdings!B2,"")</f>
        <v/>
      </c>
      <c r="C10" s="8">
        <f>IFERROR(Holdings!C2,"")</f>
        <v/>
      </c>
      <c r="D10" s="8">
        <f>IFERROR(Holdings!D2,"")</f>
        <v/>
      </c>
      <c r="E10" s="8">
        <f>IFERROR(Holdings!E2,"")</f>
        <v/>
      </c>
      <c r="F10" s="8">
        <f>IFERROR(Holdings!F2,"")</f>
        <v/>
      </c>
    </row>
    <row r="11">
      <c r="A11">
        <f>IFERROR(Holdings!A3,"")</f>
        <v/>
      </c>
      <c r="B11" s="7">
        <f>IFERROR(Holdings!B3,"")</f>
        <v/>
      </c>
      <c r="C11" s="8">
        <f>IFERROR(Holdings!C3,"")</f>
        <v/>
      </c>
      <c r="D11" s="8">
        <f>IFERROR(Holdings!D3,"")</f>
        <v/>
      </c>
      <c r="E11" s="8">
        <f>IFERROR(Holdings!E3,"")</f>
        <v/>
      </c>
      <c r="F11" s="8">
        <f>IFERROR(Holdings!F3,"")</f>
        <v/>
      </c>
    </row>
    <row r="12">
      <c r="A12">
        <f>IFERROR(Holdings!A4,"")</f>
        <v/>
      </c>
      <c r="B12" s="7">
        <f>IFERROR(Holdings!B4,"")</f>
        <v/>
      </c>
      <c r="C12" s="8">
        <f>IFERROR(Holdings!C4,"")</f>
        <v/>
      </c>
      <c r="D12" s="8">
        <f>IFERROR(Holdings!D4,"")</f>
        <v/>
      </c>
      <c r="E12" s="8">
        <f>IFERROR(Holdings!E4,"")</f>
        <v/>
      </c>
      <c r="F12" s="8">
        <f>IFERROR(Holdings!F4,"")</f>
        <v/>
      </c>
    </row>
    <row r="13">
      <c r="A13">
        <f>IFERROR(Holdings!A5,"")</f>
        <v/>
      </c>
      <c r="B13" s="7">
        <f>IFERROR(Holdings!B5,"")</f>
        <v/>
      </c>
      <c r="C13" s="8">
        <f>IFERROR(Holdings!C5,"")</f>
        <v/>
      </c>
      <c r="D13" s="8">
        <f>IFERROR(Holdings!D5,"")</f>
        <v/>
      </c>
      <c r="E13" s="8">
        <f>IFERROR(Holdings!E5,"")</f>
        <v/>
      </c>
      <c r="F13" s="8">
        <f>IFERROR(Holdings!F5,"")</f>
        <v/>
      </c>
    </row>
    <row r="14">
      <c r="A14">
        <f>IFERROR(Holdings!A6,"")</f>
        <v/>
      </c>
      <c r="B14" s="7">
        <f>IFERROR(Holdings!B6,"")</f>
        <v/>
      </c>
      <c r="C14" s="8">
        <f>IFERROR(Holdings!C6,"")</f>
        <v/>
      </c>
      <c r="D14" s="8">
        <f>IFERROR(Holdings!D6,"")</f>
        <v/>
      </c>
      <c r="E14" s="8">
        <f>IFERROR(Holdings!E6,"")</f>
        <v/>
      </c>
      <c r="F14" s="8">
        <f>IFERROR(Holdings!F6,"")</f>
        <v/>
      </c>
    </row>
    <row r="15">
      <c r="A15">
        <f>IFERROR(Holdings!A7,"")</f>
        <v/>
      </c>
      <c r="B15" s="7">
        <f>IFERROR(Holdings!B7,"")</f>
        <v/>
      </c>
      <c r="C15" s="8">
        <f>IFERROR(Holdings!C7,"")</f>
        <v/>
      </c>
      <c r="D15" s="8">
        <f>IFERROR(Holdings!D7,"")</f>
        <v/>
      </c>
      <c r="E15" s="8">
        <f>IFERROR(Holdings!E7,"")</f>
        <v/>
      </c>
      <c r="F15" s="8">
        <f>IFERROR(Holdings!F7,"")</f>
        <v/>
      </c>
    </row>
    <row r="16">
      <c r="A16">
        <f>IFERROR(Holdings!A8,"")</f>
        <v/>
      </c>
      <c r="B16" s="7">
        <f>IFERROR(Holdings!B8,"")</f>
        <v/>
      </c>
      <c r="C16" s="8">
        <f>IFERROR(Holdings!C8,"")</f>
        <v/>
      </c>
      <c r="D16" s="8">
        <f>IFERROR(Holdings!D8,"")</f>
        <v/>
      </c>
      <c r="E16" s="8">
        <f>IFERROR(Holdings!E8,"")</f>
        <v/>
      </c>
      <c r="F16" s="8">
        <f>IFERROR(Holdings!F8,"")</f>
        <v/>
      </c>
    </row>
    <row r="17">
      <c r="A17">
        <f>IFERROR(Holdings!A9,"")</f>
        <v/>
      </c>
      <c r="B17" s="7">
        <f>IFERROR(Holdings!B9,"")</f>
        <v/>
      </c>
      <c r="C17" s="8">
        <f>IFERROR(Holdings!C9,"")</f>
        <v/>
      </c>
      <c r="D17" s="8">
        <f>IFERROR(Holdings!D9,"")</f>
        <v/>
      </c>
      <c r="E17" s="8">
        <f>IFERROR(Holdings!E9,"")</f>
        <v/>
      </c>
      <c r="F17" s="8">
        <f>IFERROR(Holdings!F9,"")</f>
        <v/>
      </c>
    </row>
    <row r="18">
      <c r="A18">
        <f>IFERROR(Holdings!A10,"")</f>
        <v/>
      </c>
      <c r="B18" s="7">
        <f>IFERROR(Holdings!B10,"")</f>
        <v/>
      </c>
      <c r="C18" s="8">
        <f>IFERROR(Holdings!C10,"")</f>
        <v/>
      </c>
      <c r="D18" s="8">
        <f>IFERROR(Holdings!D10,"")</f>
        <v/>
      </c>
      <c r="E18" s="8">
        <f>IFERROR(Holdings!E10,"")</f>
        <v/>
      </c>
      <c r="F18" s="8">
        <f>IFERROR(Holdings!F10,"")</f>
        <v/>
      </c>
    </row>
    <row r="19">
      <c r="A19">
        <f>IFERROR(Holdings!A11,"")</f>
        <v/>
      </c>
      <c r="B19" s="7">
        <f>IFERROR(Holdings!B11,"")</f>
        <v/>
      </c>
      <c r="C19" s="8">
        <f>IFERROR(Holdings!C11,"")</f>
        <v/>
      </c>
      <c r="D19" s="8">
        <f>IFERROR(Holdings!D11,"")</f>
        <v/>
      </c>
      <c r="E19" s="8">
        <f>IFERROR(Holdings!E11,"")</f>
        <v/>
      </c>
      <c r="F19" s="8">
        <f>IFERROR(Holdings!F11,"")</f>
        <v/>
      </c>
    </row>
    <row r="20">
      <c r="A20">
        <f>IFERROR(Holdings!A12,"")</f>
        <v/>
      </c>
      <c r="B20" s="7">
        <f>IFERROR(Holdings!B12,"")</f>
        <v/>
      </c>
      <c r="C20" s="8">
        <f>IFERROR(Holdings!C12,"")</f>
        <v/>
      </c>
      <c r="D20" s="8">
        <f>IFERROR(Holdings!D12,"")</f>
        <v/>
      </c>
      <c r="E20" s="8">
        <f>IFERROR(Holdings!E12,"")</f>
        <v/>
      </c>
      <c r="F20" s="8">
        <f>IFERROR(Holdings!F12,"")</f>
        <v/>
      </c>
    </row>
    <row r="21">
      <c r="A21">
        <f>IFERROR(Holdings!A13,"")</f>
        <v/>
      </c>
      <c r="B21" s="7">
        <f>IFERROR(Holdings!B13,"")</f>
        <v/>
      </c>
      <c r="C21" s="8">
        <f>IFERROR(Holdings!C13,"")</f>
        <v/>
      </c>
      <c r="D21" s="8">
        <f>IFERROR(Holdings!D13,"")</f>
        <v/>
      </c>
      <c r="E21" s="8">
        <f>IFERROR(Holdings!E13,"")</f>
        <v/>
      </c>
      <c r="F21" s="8">
        <f>IFERROR(Holdings!F13,"")</f>
        <v/>
      </c>
    </row>
    <row r="22">
      <c r="A22">
        <f>IFERROR(Holdings!A14,"")</f>
        <v/>
      </c>
      <c r="B22" s="7">
        <f>IFERROR(Holdings!B14,"")</f>
        <v/>
      </c>
      <c r="C22" s="8">
        <f>IFERROR(Holdings!C14,"")</f>
        <v/>
      </c>
      <c r="D22" s="8">
        <f>IFERROR(Holdings!D14,"")</f>
        <v/>
      </c>
      <c r="E22" s="8">
        <f>IFERROR(Holdings!E14,"")</f>
        <v/>
      </c>
      <c r="F22" s="8">
        <f>IFERROR(Holdings!F14,"")</f>
        <v/>
      </c>
    </row>
    <row r="23">
      <c r="A23">
        <f>IFERROR(Holdings!A15,"")</f>
        <v/>
      </c>
      <c r="B23" s="7">
        <f>IFERROR(Holdings!B15,"")</f>
        <v/>
      </c>
      <c r="C23" s="8">
        <f>IFERROR(Holdings!C15,"")</f>
        <v/>
      </c>
      <c r="D23" s="8">
        <f>IFERROR(Holdings!D15,"")</f>
        <v/>
      </c>
      <c r="E23" s="8">
        <f>IFERROR(Holdings!E15,"")</f>
        <v/>
      </c>
      <c r="F23" s="8">
        <f>IFERROR(Holdings!F15,"")</f>
        <v/>
      </c>
    </row>
    <row r="24">
      <c r="A24">
        <f>IFERROR(Holdings!A16,"")</f>
        <v/>
      </c>
      <c r="B24" s="7">
        <f>IFERROR(Holdings!B16,"")</f>
        <v/>
      </c>
      <c r="C24" s="8">
        <f>IFERROR(Holdings!C16,"")</f>
        <v/>
      </c>
      <c r="D24" s="8">
        <f>IFERROR(Holdings!D16,"")</f>
        <v/>
      </c>
      <c r="E24" s="8">
        <f>IFERROR(Holdings!E16,"")</f>
        <v/>
      </c>
      <c r="F24" s="8">
        <f>IFERROR(Holdings!F16,"")</f>
        <v/>
      </c>
    </row>
    <row r="25">
      <c r="A25">
        <f>IFERROR(Holdings!A17,"")</f>
        <v/>
      </c>
      <c r="B25" s="7">
        <f>IFERROR(Holdings!B17,"")</f>
        <v/>
      </c>
      <c r="C25" s="8">
        <f>IFERROR(Holdings!C17,"")</f>
        <v/>
      </c>
      <c r="D25" s="8">
        <f>IFERROR(Holdings!D17,"")</f>
        <v/>
      </c>
      <c r="E25" s="8">
        <f>IFERROR(Holdings!E17,"")</f>
        <v/>
      </c>
      <c r="F25" s="8">
        <f>IFERROR(Holdings!F17,"")</f>
        <v/>
      </c>
    </row>
    <row r="26">
      <c r="A26">
        <f>IFERROR(Holdings!A18,"")</f>
        <v/>
      </c>
      <c r="B26" s="7">
        <f>IFERROR(Holdings!B18,"")</f>
        <v/>
      </c>
      <c r="C26" s="8">
        <f>IFERROR(Holdings!C18,"")</f>
        <v/>
      </c>
      <c r="D26" s="8">
        <f>IFERROR(Holdings!D18,"")</f>
        <v/>
      </c>
      <c r="E26" s="8">
        <f>IFERROR(Holdings!E18,"")</f>
        <v/>
      </c>
      <c r="F26" s="8">
        <f>IFERROR(Holdings!F18,"")</f>
        <v/>
      </c>
    </row>
    <row r="27">
      <c r="A27">
        <f>IFERROR(Holdings!A19,"")</f>
        <v/>
      </c>
      <c r="B27" s="7">
        <f>IFERROR(Holdings!B19,"")</f>
        <v/>
      </c>
      <c r="C27" s="8">
        <f>IFERROR(Holdings!C19,"")</f>
        <v/>
      </c>
      <c r="D27" s="8">
        <f>IFERROR(Holdings!D19,"")</f>
        <v/>
      </c>
      <c r="E27" s="8">
        <f>IFERROR(Holdings!E19,"")</f>
        <v/>
      </c>
      <c r="F27" s="8">
        <f>IFERROR(Holdings!F19,"")</f>
        <v/>
      </c>
    </row>
    <row r="28">
      <c r="A28">
        <f>IFERROR(Holdings!A20,"")</f>
        <v/>
      </c>
      <c r="B28" s="7">
        <f>IFERROR(Holdings!B20,"")</f>
        <v/>
      </c>
      <c r="C28" s="8">
        <f>IFERROR(Holdings!C20,"")</f>
        <v/>
      </c>
      <c r="D28" s="8">
        <f>IFERROR(Holdings!D20,"")</f>
        <v/>
      </c>
      <c r="E28" s="8">
        <f>IFERROR(Holdings!E20,"")</f>
        <v/>
      </c>
      <c r="F28" s="8">
        <f>IFERROR(Holdings!F20,"")</f>
        <v/>
      </c>
    </row>
    <row r="29">
      <c r="A29">
        <f>IFERROR(Holdings!A21,"")</f>
        <v/>
      </c>
      <c r="B29" s="7">
        <f>IFERROR(Holdings!B21,"")</f>
        <v/>
      </c>
      <c r="C29" s="8">
        <f>IFERROR(Holdings!C21,"")</f>
        <v/>
      </c>
      <c r="D29" s="8">
        <f>IFERROR(Holdings!D21,"")</f>
        <v/>
      </c>
      <c r="E29" s="8">
        <f>IFERROR(Holdings!E21,"")</f>
        <v/>
      </c>
      <c r="F29" s="8">
        <f>IFERROR(Holdings!F21,"")</f>
        <v/>
      </c>
    </row>
  </sheetData>
  <mergeCells count="2">
    <mergeCell ref="A1:F1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5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9" t="inlineStr">
        <is>
          <t>Date</t>
        </is>
      </c>
      <c r="B1" s="9" t="inlineStr">
        <is>
          <t>Stock Name</t>
        </is>
      </c>
      <c r="C1" s="9" t="inlineStr">
        <is>
          <t>Transaction Type</t>
        </is>
      </c>
      <c r="D1" s="9" t="inlineStr">
        <is>
          <t>Quantity</t>
        </is>
      </c>
      <c r="E1" s="9" t="inlineStr">
        <is>
          <t>Price per Share</t>
        </is>
      </c>
      <c r="F1" s="9" t="inlineStr">
        <is>
          <t>Brokerage/STT</t>
        </is>
      </c>
      <c r="G1" s="9" t="inlineStr">
        <is>
          <t>Total Amount</t>
        </is>
      </c>
    </row>
    <row r="2">
      <c r="G2">
        <f>IF(AND(D2&lt;&gt;"",E2&lt;&gt;""),D2*E2+IF(ISBLANK(F2),0,F2),"")</f>
        <v/>
      </c>
    </row>
    <row r="3">
      <c r="G3">
        <f>IF(AND(D3&lt;&gt;"",E3&lt;&gt;""),D3*E3+IF(ISBLANK(F3),0,F3),"")</f>
        <v/>
      </c>
    </row>
    <row r="4">
      <c r="G4">
        <f>IF(AND(D4&lt;&gt;"",E4&lt;&gt;""),D4*E4+IF(ISBLANK(F4),0,F4),"")</f>
        <v/>
      </c>
    </row>
    <row r="5">
      <c r="G5">
        <f>IF(AND(D5&lt;&gt;"",E5&lt;&gt;""),D5*E5+IF(ISBLANK(F5),0,F5),"")</f>
        <v/>
      </c>
    </row>
    <row r="6">
      <c r="G6">
        <f>IF(AND(D6&lt;&gt;"",E6&lt;&gt;""),D6*E6+IF(ISBLANK(F6),0,F6),"")</f>
        <v/>
      </c>
    </row>
    <row r="7">
      <c r="G7">
        <f>IF(AND(D7&lt;&gt;"",E7&lt;&gt;""),D7*E7+IF(ISBLANK(F7),0,F7),"")</f>
        <v/>
      </c>
    </row>
    <row r="8">
      <c r="G8">
        <f>IF(AND(D8&lt;&gt;"",E8&lt;&gt;""),D8*E8+IF(ISBLANK(F8),0,F8),"")</f>
        <v/>
      </c>
    </row>
    <row r="9">
      <c r="G9">
        <f>IF(AND(D9&lt;&gt;"",E9&lt;&gt;""),D9*E9+IF(ISBLANK(F9),0,F9),"")</f>
        <v/>
      </c>
    </row>
    <row r="10">
      <c r="G10">
        <f>IF(AND(D10&lt;&gt;"",E10&lt;&gt;""),D10*E10+IF(ISBLANK(F10),0,F10),"")</f>
        <v/>
      </c>
    </row>
    <row r="11">
      <c r="G11">
        <f>IF(AND(D11&lt;&gt;"",E11&lt;&gt;""),D11*E11+IF(ISBLANK(F11),0,F11),"")</f>
        <v/>
      </c>
    </row>
    <row r="12">
      <c r="G12">
        <f>IF(AND(D12&lt;&gt;"",E12&lt;&gt;""),D12*E12+IF(ISBLANK(F12),0,F12),"")</f>
        <v/>
      </c>
    </row>
    <row r="13">
      <c r="G13">
        <f>IF(AND(D13&lt;&gt;"",E13&lt;&gt;""),D13*E13+IF(ISBLANK(F13),0,F13),"")</f>
        <v/>
      </c>
    </row>
    <row r="14">
      <c r="G14">
        <f>IF(AND(D14&lt;&gt;"",E14&lt;&gt;""),D14*E14+IF(ISBLANK(F14),0,F14),"")</f>
        <v/>
      </c>
    </row>
    <row r="15">
      <c r="G15">
        <f>IF(AND(D15&lt;&gt;"",E15&lt;&gt;""),D15*E15+IF(ISBLANK(F15),0,F15),"")</f>
        <v/>
      </c>
    </row>
    <row r="16">
      <c r="G16">
        <f>IF(AND(D16&lt;&gt;"",E16&lt;&gt;""),D16*E16+IF(ISBLANK(F16),0,F16),"")</f>
        <v/>
      </c>
    </row>
    <row r="17">
      <c r="G17">
        <f>IF(AND(D17&lt;&gt;"",E17&lt;&gt;""),D17*E17+IF(ISBLANK(F17),0,F17),"")</f>
        <v/>
      </c>
    </row>
    <row r="18">
      <c r="G18">
        <f>IF(AND(D18&lt;&gt;"",E18&lt;&gt;""),D18*E18+IF(ISBLANK(F18),0,F18),"")</f>
        <v/>
      </c>
    </row>
    <row r="19">
      <c r="G19">
        <f>IF(AND(D19&lt;&gt;"",E19&lt;&gt;""),D19*E19+IF(ISBLANK(F19),0,F19),"")</f>
        <v/>
      </c>
    </row>
    <row r="20">
      <c r="G20">
        <f>IF(AND(D20&lt;&gt;"",E20&lt;&gt;""),D20*E20+IF(ISBLANK(F20),0,F20),"")</f>
        <v/>
      </c>
    </row>
    <row r="21">
      <c r="G21">
        <f>IF(AND(D21&lt;&gt;"",E21&lt;&gt;""),D21*E21+IF(ISBLANK(F21),0,F21),"")</f>
        <v/>
      </c>
    </row>
    <row r="22">
      <c r="G22">
        <f>IF(AND(D22&lt;&gt;"",E22&lt;&gt;""),D22*E22+IF(ISBLANK(F22),0,F22),"")</f>
        <v/>
      </c>
    </row>
    <row r="23">
      <c r="G23">
        <f>IF(AND(D23&lt;&gt;"",E23&lt;&gt;""),D23*E23+IF(ISBLANK(F23),0,F23),"")</f>
        <v/>
      </c>
    </row>
    <row r="24">
      <c r="G24">
        <f>IF(AND(D24&lt;&gt;"",E24&lt;&gt;""),D24*E24+IF(ISBLANK(F24),0,F24),"")</f>
        <v/>
      </c>
    </row>
    <row r="25">
      <c r="G25">
        <f>IF(AND(D25&lt;&gt;"",E25&lt;&gt;""),D25*E25+IF(ISBLANK(F25),0,F25),"")</f>
        <v/>
      </c>
    </row>
    <row r="26">
      <c r="G26">
        <f>IF(AND(D26&lt;&gt;"",E26&lt;&gt;""),D26*E26+IF(ISBLANK(F26),0,F26),"")</f>
        <v/>
      </c>
    </row>
    <row r="27">
      <c r="G27">
        <f>IF(AND(D27&lt;&gt;"",E27&lt;&gt;""),D27*E27+IF(ISBLANK(F27),0,F27),"")</f>
        <v/>
      </c>
    </row>
    <row r="28">
      <c r="G28">
        <f>IF(AND(D28&lt;&gt;"",E28&lt;&gt;""),D28*E28+IF(ISBLANK(F28),0,F28),"")</f>
        <v/>
      </c>
    </row>
    <row r="29">
      <c r="G29">
        <f>IF(AND(D29&lt;&gt;"",E29&lt;&gt;""),D29*E29+IF(ISBLANK(F29),0,F29),"")</f>
        <v/>
      </c>
    </row>
    <row r="30">
      <c r="G30">
        <f>IF(AND(D30&lt;&gt;"",E30&lt;&gt;""),D30*E30+IF(ISBLANK(F30),0,F30),"")</f>
        <v/>
      </c>
    </row>
    <row r="31">
      <c r="G31">
        <f>IF(AND(D31&lt;&gt;"",E31&lt;&gt;""),D31*E31+IF(ISBLANK(F31),0,F31),"")</f>
        <v/>
      </c>
    </row>
    <row r="32">
      <c r="G32">
        <f>IF(AND(D32&lt;&gt;"",E32&lt;&gt;""),D32*E32+IF(ISBLANK(F32),0,F32),"")</f>
        <v/>
      </c>
    </row>
    <row r="33">
      <c r="G33">
        <f>IF(AND(D33&lt;&gt;"",E33&lt;&gt;""),D33*E33+IF(ISBLANK(F33),0,F33),"")</f>
        <v/>
      </c>
    </row>
    <row r="34">
      <c r="G34">
        <f>IF(AND(D34&lt;&gt;"",E34&lt;&gt;""),D34*E34+IF(ISBLANK(F34),0,F34),"")</f>
        <v/>
      </c>
    </row>
    <row r="35">
      <c r="G35">
        <f>IF(AND(D35&lt;&gt;"",E35&lt;&gt;""),D35*E35+IF(ISBLANK(F35),0,F35),"")</f>
        <v/>
      </c>
    </row>
    <row r="36">
      <c r="G36">
        <f>IF(AND(D36&lt;&gt;"",E36&lt;&gt;""),D36*E36+IF(ISBLANK(F36),0,F36),"")</f>
        <v/>
      </c>
    </row>
    <row r="37">
      <c r="G37">
        <f>IF(AND(D37&lt;&gt;"",E37&lt;&gt;""),D37*E37+IF(ISBLANK(F37),0,F37),"")</f>
        <v/>
      </c>
    </row>
    <row r="38">
      <c r="G38">
        <f>IF(AND(D38&lt;&gt;"",E38&lt;&gt;""),D38*E38+IF(ISBLANK(F38),0,F38),"")</f>
        <v/>
      </c>
    </row>
    <row r="39">
      <c r="G39">
        <f>IF(AND(D39&lt;&gt;"",E39&lt;&gt;""),D39*E39+IF(ISBLANK(F39),0,F39),"")</f>
        <v/>
      </c>
    </row>
    <row r="40">
      <c r="G40">
        <f>IF(AND(D40&lt;&gt;"",E40&lt;&gt;""),D40*E40+IF(ISBLANK(F40),0,F40),"")</f>
        <v/>
      </c>
    </row>
    <row r="41">
      <c r="G41">
        <f>IF(AND(D41&lt;&gt;"",E41&lt;&gt;""),D41*E41+IF(ISBLANK(F41),0,F41),"")</f>
        <v/>
      </c>
    </row>
    <row r="42">
      <c r="G42">
        <f>IF(AND(D42&lt;&gt;"",E42&lt;&gt;""),D42*E42+IF(ISBLANK(F42),0,F42),"")</f>
        <v/>
      </c>
    </row>
    <row r="43">
      <c r="G43">
        <f>IF(AND(D43&lt;&gt;"",E43&lt;&gt;""),D43*E43+IF(ISBLANK(F43),0,F43),"")</f>
        <v/>
      </c>
    </row>
    <row r="44">
      <c r="G44">
        <f>IF(AND(D44&lt;&gt;"",E44&lt;&gt;""),D44*E44+IF(ISBLANK(F44),0,F44),"")</f>
        <v/>
      </c>
    </row>
    <row r="45">
      <c r="G45">
        <f>IF(AND(D45&lt;&gt;"",E45&lt;&gt;""),D45*E45+IF(ISBLANK(F45),0,F45),"")</f>
        <v/>
      </c>
    </row>
    <row r="46">
      <c r="G46">
        <f>IF(AND(D46&lt;&gt;"",E46&lt;&gt;""),D46*E46+IF(ISBLANK(F46),0,F46),"")</f>
        <v/>
      </c>
    </row>
    <row r="47">
      <c r="G47">
        <f>IF(AND(D47&lt;&gt;"",E47&lt;&gt;""),D47*E47+IF(ISBLANK(F47),0,F47),"")</f>
        <v/>
      </c>
    </row>
    <row r="48">
      <c r="G48">
        <f>IF(AND(D48&lt;&gt;"",E48&lt;&gt;""),D48*E48+IF(ISBLANK(F48),0,F48),"")</f>
        <v/>
      </c>
    </row>
    <row r="49">
      <c r="G49">
        <f>IF(AND(D49&lt;&gt;"",E49&lt;&gt;""),D49*E49+IF(ISBLANK(F49),0,F49),"")</f>
        <v/>
      </c>
    </row>
    <row r="50">
      <c r="G50">
        <f>IF(AND(D50&lt;&gt;"",E50&lt;&gt;""),D50*E50+IF(ISBLANK(F50),0,F50),"")</f>
        <v/>
      </c>
    </row>
    <row r="51">
      <c r="G51">
        <f>IF(AND(D51&lt;&gt;"",E51&lt;&gt;""),D51*E51+IF(ISBLANK(F51),0,F51),"")</f>
        <v/>
      </c>
    </row>
    <row r="52">
      <c r="G52">
        <f>IF(AND(D52&lt;&gt;"",E52&lt;&gt;""),D52*E52+IF(ISBLANK(F52),0,F52),"")</f>
        <v/>
      </c>
    </row>
    <row r="53">
      <c r="G53">
        <f>IF(AND(D53&lt;&gt;"",E53&lt;&gt;""),D53*E53+IF(ISBLANK(F53),0,F53),"")</f>
        <v/>
      </c>
    </row>
    <row r="54">
      <c r="G54">
        <f>IF(AND(D54&lt;&gt;"",E54&lt;&gt;""),D54*E54+IF(ISBLANK(F54),0,F54),"")</f>
        <v/>
      </c>
    </row>
    <row r="55">
      <c r="G55">
        <f>IF(AND(D55&lt;&gt;"",E55&lt;&gt;""),D55*E55+IF(ISBLANK(F55),0,F55),"")</f>
        <v/>
      </c>
    </row>
    <row r="56">
      <c r="G56">
        <f>IF(AND(D56&lt;&gt;"",E56&lt;&gt;""),D56*E56+IF(ISBLANK(F56),0,F56),"")</f>
        <v/>
      </c>
    </row>
    <row r="57">
      <c r="G57">
        <f>IF(AND(D57&lt;&gt;"",E57&lt;&gt;""),D57*E57+IF(ISBLANK(F57),0,F57),"")</f>
        <v/>
      </c>
    </row>
    <row r="58">
      <c r="G58">
        <f>IF(AND(D58&lt;&gt;"",E58&lt;&gt;""),D58*E58+IF(ISBLANK(F58),0,F58),"")</f>
        <v/>
      </c>
    </row>
    <row r="59">
      <c r="G59">
        <f>IF(AND(D59&lt;&gt;"",E59&lt;&gt;""),D59*E59+IF(ISBLANK(F59),0,F59),"")</f>
        <v/>
      </c>
    </row>
    <row r="60">
      <c r="G60">
        <f>IF(AND(D60&lt;&gt;"",E60&lt;&gt;""),D60*E60+IF(ISBLANK(F60),0,F60),"")</f>
        <v/>
      </c>
    </row>
    <row r="61">
      <c r="G61">
        <f>IF(AND(D61&lt;&gt;"",E61&lt;&gt;""),D61*E61+IF(ISBLANK(F61),0,F61),"")</f>
        <v/>
      </c>
    </row>
    <row r="62">
      <c r="G62">
        <f>IF(AND(D62&lt;&gt;"",E62&lt;&gt;""),D62*E62+IF(ISBLANK(F62),0,F62),"")</f>
        <v/>
      </c>
    </row>
    <row r="63">
      <c r="G63">
        <f>IF(AND(D63&lt;&gt;"",E63&lt;&gt;""),D63*E63+IF(ISBLANK(F63),0,F63),"")</f>
        <v/>
      </c>
    </row>
    <row r="64">
      <c r="G64">
        <f>IF(AND(D64&lt;&gt;"",E64&lt;&gt;""),D64*E64+IF(ISBLANK(F64),0,F64),"")</f>
        <v/>
      </c>
    </row>
    <row r="65">
      <c r="G65">
        <f>IF(AND(D65&lt;&gt;"",E65&lt;&gt;""),D65*E65+IF(ISBLANK(F65),0,F65),"")</f>
        <v/>
      </c>
    </row>
    <row r="66">
      <c r="G66">
        <f>IF(AND(D66&lt;&gt;"",E66&lt;&gt;""),D66*E66+IF(ISBLANK(F66),0,F66),"")</f>
        <v/>
      </c>
    </row>
    <row r="67">
      <c r="G67">
        <f>IF(AND(D67&lt;&gt;"",E67&lt;&gt;""),D67*E67+IF(ISBLANK(F67),0,F67),"")</f>
        <v/>
      </c>
    </row>
    <row r="68">
      <c r="G68">
        <f>IF(AND(D68&lt;&gt;"",E68&lt;&gt;""),D68*E68+IF(ISBLANK(F68),0,F68),"")</f>
        <v/>
      </c>
    </row>
    <row r="69">
      <c r="G69">
        <f>IF(AND(D69&lt;&gt;"",E69&lt;&gt;""),D69*E69+IF(ISBLANK(F69),0,F69),"")</f>
        <v/>
      </c>
    </row>
    <row r="70">
      <c r="G70">
        <f>IF(AND(D70&lt;&gt;"",E70&lt;&gt;""),D70*E70+IF(ISBLANK(F70),0,F70),"")</f>
        <v/>
      </c>
    </row>
    <row r="71">
      <c r="G71">
        <f>IF(AND(D71&lt;&gt;"",E71&lt;&gt;""),D71*E71+IF(ISBLANK(F71),0,F71),"")</f>
        <v/>
      </c>
    </row>
    <row r="72">
      <c r="G72">
        <f>IF(AND(D72&lt;&gt;"",E72&lt;&gt;""),D72*E72+IF(ISBLANK(F72),0,F72),"")</f>
        <v/>
      </c>
    </row>
    <row r="73">
      <c r="G73">
        <f>IF(AND(D73&lt;&gt;"",E73&lt;&gt;""),D73*E73+IF(ISBLANK(F73),0,F73),"")</f>
        <v/>
      </c>
    </row>
    <row r="74">
      <c r="G74">
        <f>IF(AND(D74&lt;&gt;"",E74&lt;&gt;""),D74*E74+IF(ISBLANK(F74),0,F74),"")</f>
        <v/>
      </c>
    </row>
    <row r="75">
      <c r="G75">
        <f>IF(AND(D75&lt;&gt;"",E75&lt;&gt;""),D75*E75+IF(ISBLANK(F75),0,F75),"")</f>
        <v/>
      </c>
    </row>
    <row r="76">
      <c r="G76">
        <f>IF(AND(D76&lt;&gt;"",E76&lt;&gt;""),D76*E76+IF(ISBLANK(F76),0,F76),"")</f>
        <v/>
      </c>
    </row>
    <row r="77">
      <c r="G77">
        <f>IF(AND(D77&lt;&gt;"",E77&lt;&gt;""),D77*E77+IF(ISBLANK(F77),0,F77),"")</f>
        <v/>
      </c>
    </row>
    <row r="78">
      <c r="G78">
        <f>IF(AND(D78&lt;&gt;"",E78&lt;&gt;""),D78*E78+IF(ISBLANK(F78),0,F78),"")</f>
        <v/>
      </c>
    </row>
    <row r="79">
      <c r="G79">
        <f>IF(AND(D79&lt;&gt;"",E79&lt;&gt;""),D79*E79+IF(ISBLANK(F79),0,F79),"")</f>
        <v/>
      </c>
    </row>
    <row r="80">
      <c r="G80">
        <f>IF(AND(D80&lt;&gt;"",E80&lt;&gt;""),D80*E80+IF(ISBLANK(F80),0,F80),"")</f>
        <v/>
      </c>
    </row>
    <row r="81">
      <c r="G81">
        <f>IF(AND(D81&lt;&gt;"",E81&lt;&gt;""),D81*E81+IF(ISBLANK(F81),0,F81),"")</f>
        <v/>
      </c>
    </row>
    <row r="82">
      <c r="G82">
        <f>IF(AND(D82&lt;&gt;"",E82&lt;&gt;""),D82*E82+IF(ISBLANK(F82),0,F82),"")</f>
        <v/>
      </c>
    </row>
    <row r="83">
      <c r="G83">
        <f>IF(AND(D83&lt;&gt;"",E83&lt;&gt;""),D83*E83+IF(ISBLANK(F83),0,F83),"")</f>
        <v/>
      </c>
    </row>
    <row r="84">
      <c r="G84">
        <f>IF(AND(D84&lt;&gt;"",E84&lt;&gt;""),D84*E84+IF(ISBLANK(F84),0,F84),"")</f>
        <v/>
      </c>
    </row>
    <row r="85">
      <c r="G85">
        <f>IF(AND(D85&lt;&gt;"",E85&lt;&gt;""),D85*E85+IF(ISBLANK(F85),0,F85),"")</f>
        <v/>
      </c>
    </row>
    <row r="86">
      <c r="G86">
        <f>IF(AND(D86&lt;&gt;"",E86&lt;&gt;""),D86*E86+IF(ISBLANK(F86),0,F86),"")</f>
        <v/>
      </c>
    </row>
    <row r="87">
      <c r="G87">
        <f>IF(AND(D87&lt;&gt;"",E87&lt;&gt;""),D87*E87+IF(ISBLANK(F87),0,F87),"")</f>
        <v/>
      </c>
    </row>
    <row r="88">
      <c r="G88">
        <f>IF(AND(D88&lt;&gt;"",E88&lt;&gt;""),D88*E88+IF(ISBLANK(F88),0,F88),"")</f>
        <v/>
      </c>
    </row>
    <row r="89">
      <c r="G89">
        <f>IF(AND(D89&lt;&gt;"",E89&lt;&gt;""),D89*E89+IF(ISBLANK(F89),0,F89),"")</f>
        <v/>
      </c>
    </row>
    <row r="90">
      <c r="G90">
        <f>IF(AND(D90&lt;&gt;"",E90&lt;&gt;""),D90*E90+IF(ISBLANK(F90),0,F90),"")</f>
        <v/>
      </c>
    </row>
    <row r="91">
      <c r="G91">
        <f>IF(AND(D91&lt;&gt;"",E91&lt;&gt;""),D91*E91+IF(ISBLANK(F91),0,F91),"")</f>
        <v/>
      </c>
    </row>
    <row r="92">
      <c r="G92">
        <f>IF(AND(D92&lt;&gt;"",E92&lt;&gt;""),D92*E92+IF(ISBLANK(F92),0,F92),"")</f>
        <v/>
      </c>
    </row>
    <row r="93">
      <c r="G93">
        <f>IF(AND(D93&lt;&gt;"",E93&lt;&gt;""),D93*E93+IF(ISBLANK(F93),0,F93),"")</f>
        <v/>
      </c>
    </row>
    <row r="94">
      <c r="G94">
        <f>IF(AND(D94&lt;&gt;"",E94&lt;&gt;""),D94*E94+IF(ISBLANK(F94),0,F94),"")</f>
        <v/>
      </c>
    </row>
    <row r="95">
      <c r="G95">
        <f>IF(AND(D95&lt;&gt;"",E95&lt;&gt;""),D95*E95+IF(ISBLANK(F95),0,F95),"")</f>
        <v/>
      </c>
    </row>
    <row r="96">
      <c r="G96">
        <f>IF(AND(D96&lt;&gt;"",E96&lt;&gt;""),D96*E96+IF(ISBLANK(F96),0,F96),"")</f>
        <v/>
      </c>
    </row>
    <row r="97">
      <c r="G97">
        <f>IF(AND(D97&lt;&gt;"",E97&lt;&gt;""),D97*E97+IF(ISBLANK(F97),0,F97),"")</f>
        <v/>
      </c>
    </row>
    <row r="98">
      <c r="G98">
        <f>IF(AND(D98&lt;&gt;"",E98&lt;&gt;""),D98*E98+IF(ISBLANK(F98),0,F98),"")</f>
        <v/>
      </c>
    </row>
    <row r="99">
      <c r="G99">
        <f>IF(AND(D99&lt;&gt;"",E99&lt;&gt;""),D99*E99+IF(ISBLANK(F99),0,F99),"")</f>
        <v/>
      </c>
    </row>
    <row r="100">
      <c r="G100">
        <f>IF(AND(D100&lt;&gt;"",E100&lt;&gt;""),D100*E100+IF(ISBLANK(F100),0,F100),"")</f>
        <v/>
      </c>
    </row>
    <row r="101">
      <c r="G101">
        <f>IF(AND(D101&lt;&gt;"",E101&lt;&gt;""),D101*E101+IF(ISBLANK(F101),0,F101),"")</f>
        <v/>
      </c>
    </row>
    <row r="102">
      <c r="G102">
        <f>IF(AND(D102&lt;&gt;"",E102&lt;&gt;""),D102*E102+IF(ISBLANK(F102),0,F102),"")</f>
        <v/>
      </c>
    </row>
    <row r="103">
      <c r="G103">
        <f>IF(AND(D103&lt;&gt;"",E103&lt;&gt;""),D103*E103+IF(ISBLANK(F103),0,F103),"")</f>
        <v/>
      </c>
    </row>
    <row r="104">
      <c r="G104">
        <f>IF(AND(D104&lt;&gt;"",E104&lt;&gt;""),D104*E104+IF(ISBLANK(F104),0,F104),"")</f>
        <v/>
      </c>
    </row>
    <row r="105">
      <c r="G105">
        <f>IF(AND(D105&lt;&gt;"",E105&lt;&gt;""),D105*E105+IF(ISBLANK(F105),0,F105),"")</f>
        <v/>
      </c>
    </row>
    <row r="106">
      <c r="G106">
        <f>IF(AND(D106&lt;&gt;"",E106&lt;&gt;""),D106*E106+IF(ISBLANK(F106),0,F106),"")</f>
        <v/>
      </c>
    </row>
    <row r="107">
      <c r="G107">
        <f>IF(AND(D107&lt;&gt;"",E107&lt;&gt;""),D107*E107+IF(ISBLANK(F107),0,F107),"")</f>
        <v/>
      </c>
    </row>
    <row r="108">
      <c r="G108">
        <f>IF(AND(D108&lt;&gt;"",E108&lt;&gt;""),D108*E108+IF(ISBLANK(F108),0,F108),"")</f>
        <v/>
      </c>
    </row>
    <row r="109">
      <c r="G109">
        <f>IF(AND(D109&lt;&gt;"",E109&lt;&gt;""),D109*E109+IF(ISBLANK(F109),0,F109),"")</f>
        <v/>
      </c>
    </row>
    <row r="110">
      <c r="G110">
        <f>IF(AND(D110&lt;&gt;"",E110&lt;&gt;""),D110*E110+IF(ISBLANK(F110),0,F110),"")</f>
        <v/>
      </c>
    </row>
    <row r="111">
      <c r="G111">
        <f>IF(AND(D111&lt;&gt;"",E111&lt;&gt;""),D111*E111+IF(ISBLANK(F111),0,F111),"")</f>
        <v/>
      </c>
    </row>
    <row r="112">
      <c r="G112">
        <f>IF(AND(D112&lt;&gt;"",E112&lt;&gt;""),D112*E112+IF(ISBLANK(F112),0,F112),"")</f>
        <v/>
      </c>
    </row>
    <row r="113">
      <c r="G113">
        <f>IF(AND(D113&lt;&gt;"",E113&lt;&gt;""),D113*E113+IF(ISBLANK(F113),0,F113),"")</f>
        <v/>
      </c>
    </row>
    <row r="114">
      <c r="G114">
        <f>IF(AND(D114&lt;&gt;"",E114&lt;&gt;""),D114*E114+IF(ISBLANK(F114),0,F114),"")</f>
        <v/>
      </c>
    </row>
    <row r="115">
      <c r="G115">
        <f>IF(AND(D115&lt;&gt;"",E115&lt;&gt;""),D115*E115+IF(ISBLANK(F115),0,F115),"")</f>
        <v/>
      </c>
    </row>
    <row r="116">
      <c r="G116">
        <f>IF(AND(D116&lt;&gt;"",E116&lt;&gt;""),D116*E116+IF(ISBLANK(F116),0,F116),"")</f>
        <v/>
      </c>
    </row>
    <row r="117">
      <c r="G117">
        <f>IF(AND(D117&lt;&gt;"",E117&lt;&gt;""),D117*E117+IF(ISBLANK(F117),0,F117),"")</f>
        <v/>
      </c>
    </row>
    <row r="118">
      <c r="G118">
        <f>IF(AND(D118&lt;&gt;"",E118&lt;&gt;""),D118*E118+IF(ISBLANK(F118),0,F118),"")</f>
        <v/>
      </c>
    </row>
    <row r="119">
      <c r="G119">
        <f>IF(AND(D119&lt;&gt;"",E119&lt;&gt;""),D119*E119+IF(ISBLANK(F119),0,F119),"")</f>
        <v/>
      </c>
    </row>
    <row r="120">
      <c r="G120">
        <f>IF(AND(D120&lt;&gt;"",E120&lt;&gt;""),D120*E120+IF(ISBLANK(F120),0,F120),"")</f>
        <v/>
      </c>
    </row>
    <row r="121">
      <c r="G121">
        <f>IF(AND(D121&lt;&gt;"",E121&lt;&gt;""),D121*E121+IF(ISBLANK(F121),0,F121),"")</f>
        <v/>
      </c>
    </row>
    <row r="122">
      <c r="G122">
        <f>IF(AND(D122&lt;&gt;"",E122&lt;&gt;""),D122*E122+IF(ISBLANK(F122),0,F122),"")</f>
        <v/>
      </c>
    </row>
    <row r="123">
      <c r="G123">
        <f>IF(AND(D123&lt;&gt;"",E123&lt;&gt;""),D123*E123+IF(ISBLANK(F123),0,F123),"")</f>
        <v/>
      </c>
    </row>
    <row r="124">
      <c r="G124">
        <f>IF(AND(D124&lt;&gt;"",E124&lt;&gt;""),D124*E124+IF(ISBLANK(F124),0,F124),"")</f>
        <v/>
      </c>
    </row>
    <row r="125">
      <c r="G125">
        <f>IF(AND(D125&lt;&gt;"",E125&lt;&gt;""),D125*E125+IF(ISBLANK(F125),0,F125),"")</f>
        <v/>
      </c>
    </row>
    <row r="126">
      <c r="G126">
        <f>IF(AND(D126&lt;&gt;"",E126&lt;&gt;""),D126*E126+IF(ISBLANK(F126),0,F126),"")</f>
        <v/>
      </c>
    </row>
    <row r="127">
      <c r="G127">
        <f>IF(AND(D127&lt;&gt;"",E127&lt;&gt;""),D127*E127+IF(ISBLANK(F127),0,F127),"")</f>
        <v/>
      </c>
    </row>
    <row r="128">
      <c r="G128">
        <f>IF(AND(D128&lt;&gt;"",E128&lt;&gt;""),D128*E128+IF(ISBLANK(F128),0,F128),"")</f>
        <v/>
      </c>
    </row>
    <row r="129">
      <c r="G129">
        <f>IF(AND(D129&lt;&gt;"",E129&lt;&gt;""),D129*E129+IF(ISBLANK(F129),0,F129),"")</f>
        <v/>
      </c>
    </row>
    <row r="130">
      <c r="G130">
        <f>IF(AND(D130&lt;&gt;"",E130&lt;&gt;""),D130*E130+IF(ISBLANK(F130),0,F130),"")</f>
        <v/>
      </c>
    </row>
    <row r="131">
      <c r="G131">
        <f>IF(AND(D131&lt;&gt;"",E131&lt;&gt;""),D131*E131+IF(ISBLANK(F131),0,F131),"")</f>
        <v/>
      </c>
    </row>
    <row r="132">
      <c r="G132">
        <f>IF(AND(D132&lt;&gt;"",E132&lt;&gt;""),D132*E132+IF(ISBLANK(F132),0,F132),"")</f>
        <v/>
      </c>
    </row>
    <row r="133">
      <c r="G133">
        <f>IF(AND(D133&lt;&gt;"",E133&lt;&gt;""),D133*E133+IF(ISBLANK(F133),0,F133),"")</f>
        <v/>
      </c>
    </row>
    <row r="134">
      <c r="G134">
        <f>IF(AND(D134&lt;&gt;"",E134&lt;&gt;""),D134*E134+IF(ISBLANK(F134),0,F134),"")</f>
        <v/>
      </c>
    </row>
    <row r="135">
      <c r="G135">
        <f>IF(AND(D135&lt;&gt;"",E135&lt;&gt;""),D135*E135+IF(ISBLANK(F135),0,F135),"")</f>
        <v/>
      </c>
    </row>
    <row r="136">
      <c r="G136">
        <f>IF(AND(D136&lt;&gt;"",E136&lt;&gt;""),D136*E136+IF(ISBLANK(F136),0,F136),"")</f>
        <v/>
      </c>
    </row>
    <row r="137">
      <c r="G137">
        <f>IF(AND(D137&lt;&gt;"",E137&lt;&gt;""),D137*E137+IF(ISBLANK(F137),0,F137),"")</f>
        <v/>
      </c>
    </row>
    <row r="138">
      <c r="G138">
        <f>IF(AND(D138&lt;&gt;"",E138&lt;&gt;""),D138*E138+IF(ISBLANK(F138),0,F138),"")</f>
        <v/>
      </c>
    </row>
    <row r="139">
      <c r="G139">
        <f>IF(AND(D139&lt;&gt;"",E139&lt;&gt;""),D139*E139+IF(ISBLANK(F139),0,F139),"")</f>
        <v/>
      </c>
    </row>
    <row r="140">
      <c r="G140">
        <f>IF(AND(D140&lt;&gt;"",E140&lt;&gt;""),D140*E140+IF(ISBLANK(F140),0,F140),"")</f>
        <v/>
      </c>
    </row>
    <row r="141">
      <c r="G141">
        <f>IF(AND(D141&lt;&gt;"",E141&lt;&gt;""),D141*E141+IF(ISBLANK(F141),0,F141),"")</f>
        <v/>
      </c>
    </row>
    <row r="142">
      <c r="G142">
        <f>IF(AND(D142&lt;&gt;"",E142&lt;&gt;""),D142*E142+IF(ISBLANK(F142),0,F142),"")</f>
        <v/>
      </c>
    </row>
    <row r="143">
      <c r="G143">
        <f>IF(AND(D143&lt;&gt;"",E143&lt;&gt;""),D143*E143+IF(ISBLANK(F143),0,F143),"")</f>
        <v/>
      </c>
    </row>
    <row r="144">
      <c r="G144">
        <f>IF(AND(D144&lt;&gt;"",E144&lt;&gt;""),D144*E144+IF(ISBLANK(F144),0,F144),"")</f>
        <v/>
      </c>
    </row>
    <row r="145">
      <c r="G145">
        <f>IF(AND(D145&lt;&gt;"",E145&lt;&gt;""),D145*E145+IF(ISBLANK(F145),0,F145),"")</f>
        <v/>
      </c>
    </row>
    <row r="146">
      <c r="G146">
        <f>IF(AND(D146&lt;&gt;"",E146&lt;&gt;""),D146*E146+IF(ISBLANK(F146),0,F146),"")</f>
        <v/>
      </c>
    </row>
    <row r="147">
      <c r="G147">
        <f>IF(AND(D147&lt;&gt;"",E147&lt;&gt;""),D147*E147+IF(ISBLANK(F147),0,F147),"")</f>
        <v/>
      </c>
    </row>
    <row r="148">
      <c r="G148">
        <f>IF(AND(D148&lt;&gt;"",E148&lt;&gt;""),D148*E148+IF(ISBLANK(F148),0,F148),"")</f>
        <v/>
      </c>
    </row>
    <row r="149">
      <c r="G149">
        <f>IF(AND(D149&lt;&gt;"",E149&lt;&gt;""),D149*E149+IF(ISBLANK(F149),0,F149),"")</f>
        <v/>
      </c>
    </row>
    <row r="150">
      <c r="G150">
        <f>IF(AND(D150&lt;&gt;"",E150&lt;&gt;""),D150*E150+IF(ISBLANK(F150),0,F150),"")</f>
        <v/>
      </c>
    </row>
    <row r="151">
      <c r="G151">
        <f>IF(AND(D151&lt;&gt;"",E151&lt;&gt;""),D151*E151+IF(ISBLANK(F151),0,F151),"")</f>
        <v/>
      </c>
    </row>
    <row r="152">
      <c r="G152">
        <f>IF(AND(D152&lt;&gt;"",E152&lt;&gt;""),D152*E152+IF(ISBLANK(F152),0,F152),"")</f>
        <v/>
      </c>
    </row>
    <row r="153">
      <c r="G153">
        <f>IF(AND(D153&lt;&gt;"",E153&lt;&gt;""),D153*E153+IF(ISBLANK(F153),0,F153),"")</f>
        <v/>
      </c>
    </row>
    <row r="154">
      <c r="G154">
        <f>IF(AND(D154&lt;&gt;"",E154&lt;&gt;""),D154*E154+IF(ISBLANK(F154),0,F154),"")</f>
        <v/>
      </c>
    </row>
    <row r="155">
      <c r="G155">
        <f>IF(AND(D155&lt;&gt;"",E155&lt;&gt;""),D155*E155+IF(ISBLANK(F155),0,F155),"")</f>
        <v/>
      </c>
    </row>
    <row r="156">
      <c r="G156">
        <f>IF(AND(D156&lt;&gt;"",E156&lt;&gt;""),D156*E156+IF(ISBLANK(F156),0,F156),"")</f>
        <v/>
      </c>
    </row>
    <row r="157">
      <c r="G157">
        <f>IF(AND(D157&lt;&gt;"",E157&lt;&gt;""),D157*E157+IF(ISBLANK(F157),0,F157),"")</f>
        <v/>
      </c>
    </row>
    <row r="158">
      <c r="G158">
        <f>IF(AND(D158&lt;&gt;"",E158&lt;&gt;""),D158*E158+IF(ISBLANK(F158),0,F158),"")</f>
        <v/>
      </c>
    </row>
    <row r="159">
      <c r="G159">
        <f>IF(AND(D159&lt;&gt;"",E159&lt;&gt;""),D159*E159+IF(ISBLANK(F159),0,F159),"")</f>
        <v/>
      </c>
    </row>
    <row r="160">
      <c r="G160">
        <f>IF(AND(D160&lt;&gt;"",E160&lt;&gt;""),D160*E160+IF(ISBLANK(F160),0,F160),"")</f>
        <v/>
      </c>
    </row>
    <row r="161">
      <c r="G161">
        <f>IF(AND(D161&lt;&gt;"",E161&lt;&gt;""),D161*E161+IF(ISBLANK(F161),0,F161),"")</f>
        <v/>
      </c>
    </row>
    <row r="162">
      <c r="G162">
        <f>IF(AND(D162&lt;&gt;"",E162&lt;&gt;""),D162*E162+IF(ISBLANK(F162),0,F162),"")</f>
        <v/>
      </c>
    </row>
    <row r="163">
      <c r="G163">
        <f>IF(AND(D163&lt;&gt;"",E163&lt;&gt;""),D163*E163+IF(ISBLANK(F163),0,F163),"")</f>
        <v/>
      </c>
    </row>
    <row r="164">
      <c r="G164">
        <f>IF(AND(D164&lt;&gt;"",E164&lt;&gt;""),D164*E164+IF(ISBLANK(F164),0,F164),"")</f>
        <v/>
      </c>
    </row>
    <row r="165">
      <c r="G165">
        <f>IF(AND(D165&lt;&gt;"",E165&lt;&gt;""),D165*E165+IF(ISBLANK(F165),0,F165),"")</f>
        <v/>
      </c>
    </row>
    <row r="166">
      <c r="G166">
        <f>IF(AND(D166&lt;&gt;"",E166&lt;&gt;""),D166*E166+IF(ISBLANK(F166),0,F166),"")</f>
        <v/>
      </c>
    </row>
    <row r="167">
      <c r="G167">
        <f>IF(AND(D167&lt;&gt;"",E167&lt;&gt;""),D167*E167+IF(ISBLANK(F167),0,F167),"")</f>
        <v/>
      </c>
    </row>
    <row r="168">
      <c r="G168">
        <f>IF(AND(D168&lt;&gt;"",E168&lt;&gt;""),D168*E168+IF(ISBLANK(F168),0,F168),"")</f>
        <v/>
      </c>
    </row>
    <row r="169">
      <c r="G169">
        <f>IF(AND(D169&lt;&gt;"",E169&lt;&gt;""),D169*E169+IF(ISBLANK(F169),0,F169),"")</f>
        <v/>
      </c>
    </row>
    <row r="170">
      <c r="G170">
        <f>IF(AND(D170&lt;&gt;"",E170&lt;&gt;""),D170*E170+IF(ISBLANK(F170),0,F170),"")</f>
        <v/>
      </c>
    </row>
    <row r="171">
      <c r="G171">
        <f>IF(AND(D171&lt;&gt;"",E171&lt;&gt;""),D171*E171+IF(ISBLANK(F171),0,F171),"")</f>
        <v/>
      </c>
    </row>
    <row r="172">
      <c r="G172">
        <f>IF(AND(D172&lt;&gt;"",E172&lt;&gt;""),D172*E172+IF(ISBLANK(F172),0,F172),"")</f>
        <v/>
      </c>
    </row>
    <row r="173">
      <c r="G173">
        <f>IF(AND(D173&lt;&gt;"",E173&lt;&gt;""),D173*E173+IF(ISBLANK(F173),0,F173),"")</f>
        <v/>
      </c>
    </row>
    <row r="174">
      <c r="G174">
        <f>IF(AND(D174&lt;&gt;"",E174&lt;&gt;""),D174*E174+IF(ISBLANK(F174),0,F174),"")</f>
        <v/>
      </c>
    </row>
    <row r="175">
      <c r="G175">
        <f>IF(AND(D175&lt;&gt;"",E175&lt;&gt;""),D175*E175+IF(ISBLANK(F175),0,F175),"")</f>
        <v/>
      </c>
    </row>
    <row r="176">
      <c r="G176">
        <f>IF(AND(D176&lt;&gt;"",E176&lt;&gt;""),D176*E176+IF(ISBLANK(F176),0,F176),"")</f>
        <v/>
      </c>
    </row>
    <row r="177">
      <c r="G177">
        <f>IF(AND(D177&lt;&gt;"",E177&lt;&gt;""),D177*E177+IF(ISBLANK(F177),0,F177),"")</f>
        <v/>
      </c>
    </row>
    <row r="178">
      <c r="G178">
        <f>IF(AND(D178&lt;&gt;"",E178&lt;&gt;""),D178*E178+IF(ISBLANK(F178),0,F178),"")</f>
        <v/>
      </c>
    </row>
    <row r="179">
      <c r="G179">
        <f>IF(AND(D179&lt;&gt;"",E179&lt;&gt;""),D179*E179+IF(ISBLANK(F179),0,F179),"")</f>
        <v/>
      </c>
    </row>
    <row r="180">
      <c r="G180">
        <f>IF(AND(D180&lt;&gt;"",E180&lt;&gt;""),D180*E180+IF(ISBLANK(F180),0,F180),"")</f>
        <v/>
      </c>
    </row>
    <row r="181">
      <c r="G181">
        <f>IF(AND(D181&lt;&gt;"",E181&lt;&gt;""),D181*E181+IF(ISBLANK(F181),0,F181),"")</f>
        <v/>
      </c>
    </row>
    <row r="182">
      <c r="G182">
        <f>IF(AND(D182&lt;&gt;"",E182&lt;&gt;""),D182*E182+IF(ISBLANK(F182),0,F182),"")</f>
        <v/>
      </c>
    </row>
    <row r="183">
      <c r="G183">
        <f>IF(AND(D183&lt;&gt;"",E183&lt;&gt;""),D183*E183+IF(ISBLANK(F183),0,F183),"")</f>
        <v/>
      </c>
    </row>
    <row r="184">
      <c r="G184">
        <f>IF(AND(D184&lt;&gt;"",E184&lt;&gt;""),D184*E184+IF(ISBLANK(F184),0,F184),"")</f>
        <v/>
      </c>
    </row>
    <row r="185">
      <c r="G185">
        <f>IF(AND(D185&lt;&gt;"",E185&lt;&gt;""),D185*E185+IF(ISBLANK(F185),0,F185),"")</f>
        <v/>
      </c>
    </row>
    <row r="186">
      <c r="G186">
        <f>IF(AND(D186&lt;&gt;"",E186&lt;&gt;""),D186*E186+IF(ISBLANK(F186),0,F186),"")</f>
        <v/>
      </c>
    </row>
    <row r="187">
      <c r="G187">
        <f>IF(AND(D187&lt;&gt;"",E187&lt;&gt;""),D187*E187+IF(ISBLANK(F187),0,F187),"")</f>
        <v/>
      </c>
    </row>
    <row r="188">
      <c r="G188">
        <f>IF(AND(D188&lt;&gt;"",E188&lt;&gt;""),D188*E188+IF(ISBLANK(F188),0,F188),"")</f>
        <v/>
      </c>
    </row>
    <row r="189">
      <c r="G189">
        <f>IF(AND(D189&lt;&gt;"",E189&lt;&gt;""),D189*E189+IF(ISBLANK(F189),0,F189),"")</f>
        <v/>
      </c>
    </row>
    <row r="190">
      <c r="G190">
        <f>IF(AND(D190&lt;&gt;"",E190&lt;&gt;""),D190*E190+IF(ISBLANK(F190),0,F190),"")</f>
        <v/>
      </c>
    </row>
    <row r="191">
      <c r="G191">
        <f>IF(AND(D191&lt;&gt;"",E191&lt;&gt;""),D191*E191+IF(ISBLANK(F191),0,F191),"")</f>
        <v/>
      </c>
    </row>
    <row r="192">
      <c r="G192">
        <f>IF(AND(D192&lt;&gt;"",E192&lt;&gt;""),D192*E192+IF(ISBLANK(F192),0,F192),"")</f>
        <v/>
      </c>
    </row>
    <row r="193">
      <c r="G193">
        <f>IF(AND(D193&lt;&gt;"",E193&lt;&gt;""),D193*E193+IF(ISBLANK(F193),0,F193),"")</f>
        <v/>
      </c>
    </row>
    <row r="194">
      <c r="G194">
        <f>IF(AND(D194&lt;&gt;"",E194&lt;&gt;""),D194*E194+IF(ISBLANK(F194),0,F194),"")</f>
        <v/>
      </c>
    </row>
    <row r="195">
      <c r="G195">
        <f>IF(AND(D195&lt;&gt;"",E195&lt;&gt;""),D195*E195+IF(ISBLANK(F195),0,F195),"")</f>
        <v/>
      </c>
    </row>
    <row r="196">
      <c r="G196">
        <f>IF(AND(D196&lt;&gt;"",E196&lt;&gt;""),D196*E196+IF(ISBLANK(F196),0,F196),"")</f>
        <v/>
      </c>
    </row>
    <row r="197">
      <c r="G197">
        <f>IF(AND(D197&lt;&gt;"",E197&lt;&gt;""),D197*E197+IF(ISBLANK(F197),0,F197),"")</f>
        <v/>
      </c>
    </row>
    <row r="198">
      <c r="G198">
        <f>IF(AND(D198&lt;&gt;"",E198&lt;&gt;""),D198*E198+IF(ISBLANK(F198),0,F198),"")</f>
        <v/>
      </c>
    </row>
    <row r="199">
      <c r="G199">
        <f>IF(AND(D199&lt;&gt;"",E199&lt;&gt;""),D199*E199+IF(ISBLANK(F199),0,F199),"")</f>
        <v/>
      </c>
    </row>
    <row r="200">
      <c r="G200">
        <f>IF(AND(D200&lt;&gt;"",E200&lt;&gt;""),D200*E200+IF(ISBLANK(F200),0,F200),"")</f>
        <v/>
      </c>
    </row>
    <row r="201">
      <c r="G201">
        <f>IF(AND(D201&lt;&gt;"",E201&lt;&gt;""),D201*E201+IF(ISBLANK(F201),0,F201),"")</f>
        <v/>
      </c>
    </row>
    <row r="202">
      <c r="G202">
        <f>IF(AND(D202&lt;&gt;"",E202&lt;&gt;""),D202*E202+IF(ISBLANK(F202),0,F202),"")</f>
        <v/>
      </c>
    </row>
    <row r="203">
      <c r="G203">
        <f>IF(AND(D203&lt;&gt;"",E203&lt;&gt;""),D203*E203+IF(ISBLANK(F203),0,F203),"")</f>
        <v/>
      </c>
    </row>
    <row r="204">
      <c r="G204">
        <f>IF(AND(D204&lt;&gt;"",E204&lt;&gt;""),D204*E204+IF(ISBLANK(F204),0,F204),"")</f>
        <v/>
      </c>
    </row>
    <row r="205">
      <c r="G205">
        <f>IF(AND(D205&lt;&gt;"",E205&lt;&gt;""),D205*E205+IF(ISBLANK(F205),0,F205),"")</f>
        <v/>
      </c>
    </row>
    <row r="206">
      <c r="G206">
        <f>IF(AND(D206&lt;&gt;"",E206&lt;&gt;""),D206*E206+IF(ISBLANK(F206),0,F206),"")</f>
        <v/>
      </c>
    </row>
    <row r="207">
      <c r="G207">
        <f>IF(AND(D207&lt;&gt;"",E207&lt;&gt;""),D207*E207+IF(ISBLANK(F207),0,F207),"")</f>
        <v/>
      </c>
    </row>
    <row r="208">
      <c r="G208">
        <f>IF(AND(D208&lt;&gt;"",E208&lt;&gt;""),D208*E208+IF(ISBLANK(F208),0,F208),"")</f>
        <v/>
      </c>
    </row>
    <row r="209">
      <c r="G209">
        <f>IF(AND(D209&lt;&gt;"",E209&lt;&gt;""),D209*E209+IF(ISBLANK(F209),0,F209),"")</f>
        <v/>
      </c>
    </row>
    <row r="210">
      <c r="G210">
        <f>IF(AND(D210&lt;&gt;"",E210&lt;&gt;""),D210*E210+IF(ISBLANK(F210),0,F210),"")</f>
        <v/>
      </c>
    </row>
    <row r="211">
      <c r="G211">
        <f>IF(AND(D211&lt;&gt;"",E211&lt;&gt;""),D211*E211+IF(ISBLANK(F211),0,F211),"")</f>
        <v/>
      </c>
    </row>
    <row r="212">
      <c r="G212">
        <f>IF(AND(D212&lt;&gt;"",E212&lt;&gt;""),D212*E212+IF(ISBLANK(F212),0,F212),"")</f>
        <v/>
      </c>
    </row>
    <row r="213">
      <c r="G213">
        <f>IF(AND(D213&lt;&gt;"",E213&lt;&gt;""),D213*E213+IF(ISBLANK(F213),0,F213),"")</f>
        <v/>
      </c>
    </row>
    <row r="214">
      <c r="G214">
        <f>IF(AND(D214&lt;&gt;"",E214&lt;&gt;""),D214*E214+IF(ISBLANK(F214),0,F214),"")</f>
        <v/>
      </c>
    </row>
    <row r="215">
      <c r="G215">
        <f>IF(AND(D215&lt;&gt;"",E215&lt;&gt;""),D215*E215+IF(ISBLANK(F215),0,F215),"")</f>
        <v/>
      </c>
    </row>
    <row r="216">
      <c r="G216">
        <f>IF(AND(D216&lt;&gt;"",E216&lt;&gt;""),D216*E216+IF(ISBLANK(F216),0,F216),"")</f>
        <v/>
      </c>
    </row>
    <row r="217">
      <c r="G217">
        <f>IF(AND(D217&lt;&gt;"",E217&lt;&gt;""),D217*E217+IF(ISBLANK(F217),0,F217),"")</f>
        <v/>
      </c>
    </row>
    <row r="218">
      <c r="G218">
        <f>IF(AND(D218&lt;&gt;"",E218&lt;&gt;""),D218*E218+IF(ISBLANK(F218),0,F218),"")</f>
        <v/>
      </c>
    </row>
    <row r="219">
      <c r="G219">
        <f>IF(AND(D219&lt;&gt;"",E219&lt;&gt;""),D219*E219+IF(ISBLANK(F219),0,F219),"")</f>
        <v/>
      </c>
    </row>
    <row r="220">
      <c r="G220">
        <f>IF(AND(D220&lt;&gt;"",E220&lt;&gt;""),D220*E220+IF(ISBLANK(F220),0,F220),"")</f>
        <v/>
      </c>
    </row>
    <row r="221">
      <c r="G221">
        <f>IF(AND(D221&lt;&gt;"",E221&lt;&gt;""),D221*E221+IF(ISBLANK(F221),0,F221),"")</f>
        <v/>
      </c>
    </row>
    <row r="222">
      <c r="G222">
        <f>IF(AND(D222&lt;&gt;"",E222&lt;&gt;""),D222*E222+IF(ISBLANK(F222),0,F222),"")</f>
        <v/>
      </c>
    </row>
    <row r="223">
      <c r="G223">
        <f>IF(AND(D223&lt;&gt;"",E223&lt;&gt;""),D223*E223+IF(ISBLANK(F223),0,F223),"")</f>
        <v/>
      </c>
    </row>
    <row r="224">
      <c r="G224">
        <f>IF(AND(D224&lt;&gt;"",E224&lt;&gt;""),D224*E224+IF(ISBLANK(F224),0,F224),"")</f>
        <v/>
      </c>
    </row>
    <row r="225">
      <c r="G225">
        <f>IF(AND(D225&lt;&gt;"",E225&lt;&gt;""),D225*E225+IF(ISBLANK(F225),0,F225),"")</f>
        <v/>
      </c>
    </row>
    <row r="226">
      <c r="G226">
        <f>IF(AND(D226&lt;&gt;"",E226&lt;&gt;""),D226*E226+IF(ISBLANK(F226),0,F226),"")</f>
        <v/>
      </c>
    </row>
    <row r="227">
      <c r="G227">
        <f>IF(AND(D227&lt;&gt;"",E227&lt;&gt;""),D227*E227+IF(ISBLANK(F227),0,F227),"")</f>
        <v/>
      </c>
    </row>
    <row r="228">
      <c r="G228">
        <f>IF(AND(D228&lt;&gt;"",E228&lt;&gt;""),D228*E228+IF(ISBLANK(F228),0,F228),"")</f>
        <v/>
      </c>
    </row>
    <row r="229">
      <c r="G229">
        <f>IF(AND(D229&lt;&gt;"",E229&lt;&gt;""),D229*E229+IF(ISBLANK(F229),0,F229),"")</f>
        <v/>
      </c>
    </row>
    <row r="230">
      <c r="G230">
        <f>IF(AND(D230&lt;&gt;"",E230&lt;&gt;""),D230*E230+IF(ISBLANK(F230),0,F230),"")</f>
        <v/>
      </c>
    </row>
    <row r="231">
      <c r="G231">
        <f>IF(AND(D231&lt;&gt;"",E231&lt;&gt;""),D231*E231+IF(ISBLANK(F231),0,F231),"")</f>
        <v/>
      </c>
    </row>
    <row r="232">
      <c r="G232">
        <f>IF(AND(D232&lt;&gt;"",E232&lt;&gt;""),D232*E232+IF(ISBLANK(F232),0,F232),"")</f>
        <v/>
      </c>
    </row>
    <row r="233">
      <c r="G233">
        <f>IF(AND(D233&lt;&gt;"",E233&lt;&gt;""),D233*E233+IF(ISBLANK(F233),0,F233),"")</f>
        <v/>
      </c>
    </row>
    <row r="234">
      <c r="G234">
        <f>IF(AND(D234&lt;&gt;"",E234&lt;&gt;""),D234*E234+IF(ISBLANK(F234),0,F234),"")</f>
        <v/>
      </c>
    </row>
    <row r="235">
      <c r="G235">
        <f>IF(AND(D235&lt;&gt;"",E235&lt;&gt;""),D235*E235+IF(ISBLANK(F235),0,F235),"")</f>
        <v/>
      </c>
    </row>
    <row r="236">
      <c r="G236">
        <f>IF(AND(D236&lt;&gt;"",E236&lt;&gt;""),D236*E236+IF(ISBLANK(F236),0,F236),"")</f>
        <v/>
      </c>
    </row>
    <row r="237">
      <c r="G237">
        <f>IF(AND(D237&lt;&gt;"",E237&lt;&gt;""),D237*E237+IF(ISBLANK(F237),0,F237),"")</f>
        <v/>
      </c>
    </row>
    <row r="238">
      <c r="G238">
        <f>IF(AND(D238&lt;&gt;"",E238&lt;&gt;""),D238*E238+IF(ISBLANK(F238),0,F238),"")</f>
        <v/>
      </c>
    </row>
    <row r="239">
      <c r="G239">
        <f>IF(AND(D239&lt;&gt;"",E239&lt;&gt;""),D239*E239+IF(ISBLANK(F239),0,F239),"")</f>
        <v/>
      </c>
    </row>
    <row r="240">
      <c r="G240">
        <f>IF(AND(D240&lt;&gt;"",E240&lt;&gt;""),D240*E240+IF(ISBLANK(F240),0,F240),"")</f>
        <v/>
      </c>
    </row>
    <row r="241">
      <c r="G241">
        <f>IF(AND(D241&lt;&gt;"",E241&lt;&gt;""),D241*E241+IF(ISBLANK(F241),0,F241),"")</f>
        <v/>
      </c>
    </row>
    <row r="242">
      <c r="G242">
        <f>IF(AND(D242&lt;&gt;"",E242&lt;&gt;""),D242*E242+IF(ISBLANK(F242),0,F242),"")</f>
        <v/>
      </c>
    </row>
    <row r="243">
      <c r="G243">
        <f>IF(AND(D243&lt;&gt;"",E243&lt;&gt;""),D243*E243+IF(ISBLANK(F243),0,F243),"")</f>
        <v/>
      </c>
    </row>
    <row r="244">
      <c r="G244">
        <f>IF(AND(D244&lt;&gt;"",E244&lt;&gt;""),D244*E244+IF(ISBLANK(F244),0,F244),"")</f>
        <v/>
      </c>
    </row>
    <row r="245">
      <c r="G245">
        <f>IF(AND(D245&lt;&gt;"",E245&lt;&gt;""),D245*E245+IF(ISBLANK(F245),0,F245),"")</f>
        <v/>
      </c>
    </row>
    <row r="246">
      <c r="G246">
        <f>IF(AND(D246&lt;&gt;"",E246&lt;&gt;""),D246*E246+IF(ISBLANK(F246),0,F246),"")</f>
        <v/>
      </c>
    </row>
    <row r="247">
      <c r="G247">
        <f>IF(AND(D247&lt;&gt;"",E247&lt;&gt;""),D247*E247+IF(ISBLANK(F247),0,F247),"")</f>
        <v/>
      </c>
    </row>
    <row r="248">
      <c r="G248">
        <f>IF(AND(D248&lt;&gt;"",E248&lt;&gt;""),D248*E248+IF(ISBLANK(F248),0,F248),"")</f>
        <v/>
      </c>
    </row>
    <row r="249">
      <c r="G249">
        <f>IF(AND(D249&lt;&gt;"",E249&lt;&gt;""),D249*E249+IF(ISBLANK(F249),0,F249),"")</f>
        <v/>
      </c>
    </row>
    <row r="250">
      <c r="G250">
        <f>IF(AND(D250&lt;&gt;"",E250&lt;&gt;""),D250*E250+IF(ISBLANK(F250),0,F250),"")</f>
        <v/>
      </c>
    </row>
    <row r="251">
      <c r="G251">
        <f>IF(AND(D251&lt;&gt;"",E251&lt;&gt;""),D251*E251+IF(ISBLANK(F251),0,F251),"")</f>
        <v/>
      </c>
    </row>
    <row r="252">
      <c r="G252">
        <f>IF(AND(D252&lt;&gt;"",E252&lt;&gt;""),D252*E252+IF(ISBLANK(F252),0,F252),"")</f>
        <v/>
      </c>
    </row>
    <row r="253">
      <c r="G253">
        <f>IF(AND(D253&lt;&gt;"",E253&lt;&gt;""),D253*E253+IF(ISBLANK(F253),0,F253),"")</f>
        <v/>
      </c>
    </row>
    <row r="254">
      <c r="G254">
        <f>IF(AND(D254&lt;&gt;"",E254&lt;&gt;""),D254*E254+IF(ISBLANK(F254),0,F254),"")</f>
        <v/>
      </c>
    </row>
    <row r="255">
      <c r="G255">
        <f>IF(AND(D255&lt;&gt;"",E255&lt;&gt;""),D255*E255+IF(ISBLANK(F255),0,F255),"")</f>
        <v/>
      </c>
    </row>
    <row r="256">
      <c r="G256">
        <f>IF(AND(D256&lt;&gt;"",E256&lt;&gt;""),D256*E256+IF(ISBLANK(F256),0,F256),"")</f>
        <v/>
      </c>
    </row>
    <row r="257">
      <c r="G257">
        <f>IF(AND(D257&lt;&gt;"",E257&lt;&gt;""),D257*E257+IF(ISBLANK(F257),0,F257),"")</f>
        <v/>
      </c>
    </row>
    <row r="258">
      <c r="G258">
        <f>IF(AND(D258&lt;&gt;"",E258&lt;&gt;""),D258*E258+IF(ISBLANK(F258),0,F258),"")</f>
        <v/>
      </c>
    </row>
    <row r="259">
      <c r="G259">
        <f>IF(AND(D259&lt;&gt;"",E259&lt;&gt;""),D259*E259+IF(ISBLANK(F259),0,F259),"")</f>
        <v/>
      </c>
    </row>
    <row r="260">
      <c r="G260">
        <f>IF(AND(D260&lt;&gt;"",E260&lt;&gt;""),D260*E260+IF(ISBLANK(F260),0,F260),"")</f>
        <v/>
      </c>
    </row>
    <row r="261">
      <c r="G261">
        <f>IF(AND(D261&lt;&gt;"",E261&lt;&gt;""),D261*E261+IF(ISBLANK(F261),0,F261),"")</f>
        <v/>
      </c>
    </row>
    <row r="262">
      <c r="G262">
        <f>IF(AND(D262&lt;&gt;"",E262&lt;&gt;""),D262*E262+IF(ISBLANK(F262),0,F262),"")</f>
        <v/>
      </c>
    </row>
    <row r="263">
      <c r="G263">
        <f>IF(AND(D263&lt;&gt;"",E263&lt;&gt;""),D263*E263+IF(ISBLANK(F263),0,F263),"")</f>
        <v/>
      </c>
    </row>
    <row r="264">
      <c r="G264">
        <f>IF(AND(D264&lt;&gt;"",E264&lt;&gt;""),D264*E264+IF(ISBLANK(F264),0,F264),"")</f>
        <v/>
      </c>
    </row>
    <row r="265">
      <c r="G265">
        <f>IF(AND(D265&lt;&gt;"",E265&lt;&gt;""),D265*E265+IF(ISBLANK(F265),0,F265),"")</f>
        <v/>
      </c>
    </row>
    <row r="266">
      <c r="G266">
        <f>IF(AND(D266&lt;&gt;"",E266&lt;&gt;""),D266*E266+IF(ISBLANK(F266),0,F266),"")</f>
        <v/>
      </c>
    </row>
    <row r="267">
      <c r="G267">
        <f>IF(AND(D267&lt;&gt;"",E267&lt;&gt;""),D267*E267+IF(ISBLANK(F267),0,F267),"")</f>
        <v/>
      </c>
    </row>
    <row r="268">
      <c r="G268">
        <f>IF(AND(D268&lt;&gt;"",E268&lt;&gt;""),D268*E268+IF(ISBLANK(F268),0,F268),"")</f>
        <v/>
      </c>
    </row>
    <row r="269">
      <c r="G269">
        <f>IF(AND(D269&lt;&gt;"",E269&lt;&gt;""),D269*E269+IF(ISBLANK(F269),0,F269),"")</f>
        <v/>
      </c>
    </row>
    <row r="270">
      <c r="G270">
        <f>IF(AND(D270&lt;&gt;"",E270&lt;&gt;""),D270*E270+IF(ISBLANK(F270),0,F270),"")</f>
        <v/>
      </c>
    </row>
    <row r="271">
      <c r="G271">
        <f>IF(AND(D271&lt;&gt;"",E271&lt;&gt;""),D271*E271+IF(ISBLANK(F271),0,F271),"")</f>
        <v/>
      </c>
    </row>
    <row r="272">
      <c r="G272">
        <f>IF(AND(D272&lt;&gt;"",E272&lt;&gt;""),D272*E272+IF(ISBLANK(F272),0,F272),"")</f>
        <v/>
      </c>
    </row>
    <row r="273">
      <c r="G273">
        <f>IF(AND(D273&lt;&gt;"",E273&lt;&gt;""),D273*E273+IF(ISBLANK(F273),0,F273),"")</f>
        <v/>
      </c>
    </row>
    <row r="274">
      <c r="G274">
        <f>IF(AND(D274&lt;&gt;"",E274&lt;&gt;""),D274*E274+IF(ISBLANK(F274),0,F274),"")</f>
        <v/>
      </c>
    </row>
    <row r="275">
      <c r="G275">
        <f>IF(AND(D275&lt;&gt;"",E275&lt;&gt;""),D275*E275+IF(ISBLANK(F275),0,F275),"")</f>
        <v/>
      </c>
    </row>
    <row r="276">
      <c r="G276">
        <f>IF(AND(D276&lt;&gt;"",E276&lt;&gt;""),D276*E276+IF(ISBLANK(F276),0,F276),"")</f>
        <v/>
      </c>
    </row>
    <row r="277">
      <c r="G277">
        <f>IF(AND(D277&lt;&gt;"",E277&lt;&gt;""),D277*E277+IF(ISBLANK(F277),0,F277),"")</f>
        <v/>
      </c>
    </row>
    <row r="278">
      <c r="G278">
        <f>IF(AND(D278&lt;&gt;"",E278&lt;&gt;""),D278*E278+IF(ISBLANK(F278),0,F278),"")</f>
        <v/>
      </c>
    </row>
    <row r="279">
      <c r="G279">
        <f>IF(AND(D279&lt;&gt;"",E279&lt;&gt;""),D279*E279+IF(ISBLANK(F279),0,F279),"")</f>
        <v/>
      </c>
    </row>
    <row r="280">
      <c r="G280">
        <f>IF(AND(D280&lt;&gt;"",E280&lt;&gt;""),D280*E280+IF(ISBLANK(F280),0,F280),"")</f>
        <v/>
      </c>
    </row>
    <row r="281">
      <c r="G281">
        <f>IF(AND(D281&lt;&gt;"",E281&lt;&gt;""),D281*E281+IF(ISBLANK(F281),0,F281),"")</f>
        <v/>
      </c>
    </row>
    <row r="282">
      <c r="G282">
        <f>IF(AND(D282&lt;&gt;"",E282&lt;&gt;""),D282*E282+IF(ISBLANK(F282),0,F282),"")</f>
        <v/>
      </c>
    </row>
    <row r="283">
      <c r="G283">
        <f>IF(AND(D283&lt;&gt;"",E283&lt;&gt;""),D283*E283+IF(ISBLANK(F283),0,F283),"")</f>
        <v/>
      </c>
    </row>
    <row r="284">
      <c r="G284">
        <f>IF(AND(D284&lt;&gt;"",E284&lt;&gt;""),D284*E284+IF(ISBLANK(F284),0,F284),"")</f>
        <v/>
      </c>
    </row>
    <row r="285">
      <c r="G285">
        <f>IF(AND(D285&lt;&gt;"",E285&lt;&gt;""),D285*E285+IF(ISBLANK(F285),0,F285),"")</f>
        <v/>
      </c>
    </row>
    <row r="286">
      <c r="G286">
        <f>IF(AND(D286&lt;&gt;"",E286&lt;&gt;""),D286*E286+IF(ISBLANK(F286),0,F286),"")</f>
        <v/>
      </c>
    </row>
    <row r="287">
      <c r="G287">
        <f>IF(AND(D287&lt;&gt;"",E287&lt;&gt;""),D287*E287+IF(ISBLANK(F287),0,F287),"")</f>
        <v/>
      </c>
    </row>
    <row r="288">
      <c r="G288">
        <f>IF(AND(D288&lt;&gt;"",E288&lt;&gt;""),D288*E288+IF(ISBLANK(F288),0,F288),"")</f>
        <v/>
      </c>
    </row>
    <row r="289">
      <c r="G289">
        <f>IF(AND(D289&lt;&gt;"",E289&lt;&gt;""),D289*E289+IF(ISBLANK(F289),0,F289),"")</f>
        <v/>
      </c>
    </row>
    <row r="290">
      <c r="G290">
        <f>IF(AND(D290&lt;&gt;"",E290&lt;&gt;""),D290*E290+IF(ISBLANK(F290),0,F290),"")</f>
        <v/>
      </c>
    </row>
    <row r="291">
      <c r="G291">
        <f>IF(AND(D291&lt;&gt;"",E291&lt;&gt;""),D291*E291+IF(ISBLANK(F291),0,F291),"")</f>
        <v/>
      </c>
    </row>
    <row r="292">
      <c r="G292">
        <f>IF(AND(D292&lt;&gt;"",E292&lt;&gt;""),D292*E292+IF(ISBLANK(F292),0,F292),"")</f>
        <v/>
      </c>
    </row>
    <row r="293">
      <c r="G293">
        <f>IF(AND(D293&lt;&gt;"",E293&lt;&gt;""),D293*E293+IF(ISBLANK(F293),0,F293),"")</f>
        <v/>
      </c>
    </row>
    <row r="294">
      <c r="G294">
        <f>IF(AND(D294&lt;&gt;"",E294&lt;&gt;""),D294*E294+IF(ISBLANK(F294),0,F294),"")</f>
        <v/>
      </c>
    </row>
    <row r="295">
      <c r="G295">
        <f>IF(AND(D295&lt;&gt;"",E295&lt;&gt;""),D295*E295+IF(ISBLANK(F295),0,F295),"")</f>
        <v/>
      </c>
    </row>
    <row r="296">
      <c r="G296">
        <f>IF(AND(D296&lt;&gt;"",E296&lt;&gt;""),D296*E296+IF(ISBLANK(F296),0,F296),"")</f>
        <v/>
      </c>
    </row>
    <row r="297">
      <c r="G297">
        <f>IF(AND(D297&lt;&gt;"",E297&lt;&gt;""),D297*E297+IF(ISBLANK(F297),0,F297),"")</f>
        <v/>
      </c>
    </row>
    <row r="298">
      <c r="G298">
        <f>IF(AND(D298&lt;&gt;"",E298&lt;&gt;""),D298*E298+IF(ISBLANK(F298),0,F298),"")</f>
        <v/>
      </c>
    </row>
    <row r="299">
      <c r="G299">
        <f>IF(AND(D299&lt;&gt;"",E299&lt;&gt;""),D299*E299+IF(ISBLANK(F299),0,F299),"")</f>
        <v/>
      </c>
    </row>
    <row r="300">
      <c r="G300">
        <f>IF(AND(D300&lt;&gt;"",E300&lt;&gt;""),D300*E300+IF(ISBLANK(F300),0,F300),"")</f>
        <v/>
      </c>
    </row>
    <row r="301">
      <c r="G301">
        <f>IF(AND(D301&lt;&gt;"",E301&lt;&gt;""),D301*E301+IF(ISBLANK(F301),0,F301),"")</f>
        <v/>
      </c>
    </row>
    <row r="302">
      <c r="G302">
        <f>IF(AND(D302&lt;&gt;"",E302&lt;&gt;""),D302*E302+IF(ISBLANK(F302),0,F302),"")</f>
        <v/>
      </c>
    </row>
    <row r="303">
      <c r="G303">
        <f>IF(AND(D303&lt;&gt;"",E303&lt;&gt;""),D303*E303+IF(ISBLANK(F303),0,F303),"")</f>
        <v/>
      </c>
    </row>
    <row r="304">
      <c r="G304">
        <f>IF(AND(D304&lt;&gt;"",E304&lt;&gt;""),D304*E304+IF(ISBLANK(F304),0,F304),"")</f>
        <v/>
      </c>
    </row>
    <row r="305">
      <c r="G305">
        <f>IF(AND(D305&lt;&gt;"",E305&lt;&gt;""),D305*E305+IF(ISBLANK(F305),0,F305),"")</f>
        <v/>
      </c>
    </row>
    <row r="306">
      <c r="G306">
        <f>IF(AND(D306&lt;&gt;"",E306&lt;&gt;""),D306*E306+IF(ISBLANK(F306),0,F306),"")</f>
        <v/>
      </c>
    </row>
    <row r="307">
      <c r="G307">
        <f>IF(AND(D307&lt;&gt;"",E307&lt;&gt;""),D307*E307+IF(ISBLANK(F307),0,F307),"")</f>
        <v/>
      </c>
    </row>
    <row r="308">
      <c r="G308">
        <f>IF(AND(D308&lt;&gt;"",E308&lt;&gt;""),D308*E308+IF(ISBLANK(F308),0,F308),"")</f>
        <v/>
      </c>
    </row>
    <row r="309">
      <c r="G309">
        <f>IF(AND(D309&lt;&gt;"",E309&lt;&gt;""),D309*E309+IF(ISBLANK(F309),0,F309),"")</f>
        <v/>
      </c>
    </row>
    <row r="310">
      <c r="G310">
        <f>IF(AND(D310&lt;&gt;"",E310&lt;&gt;""),D310*E310+IF(ISBLANK(F310),0,F310),"")</f>
        <v/>
      </c>
    </row>
    <row r="311">
      <c r="G311">
        <f>IF(AND(D311&lt;&gt;"",E311&lt;&gt;""),D311*E311+IF(ISBLANK(F311),0,F311),"")</f>
        <v/>
      </c>
    </row>
    <row r="312">
      <c r="G312">
        <f>IF(AND(D312&lt;&gt;"",E312&lt;&gt;""),D312*E312+IF(ISBLANK(F312),0,F312),"")</f>
        <v/>
      </c>
    </row>
    <row r="313">
      <c r="G313">
        <f>IF(AND(D313&lt;&gt;"",E313&lt;&gt;""),D313*E313+IF(ISBLANK(F313),0,F313),"")</f>
        <v/>
      </c>
    </row>
    <row r="314">
      <c r="G314">
        <f>IF(AND(D314&lt;&gt;"",E314&lt;&gt;""),D314*E314+IF(ISBLANK(F314),0,F314),"")</f>
        <v/>
      </c>
    </row>
    <row r="315">
      <c r="G315">
        <f>IF(AND(D315&lt;&gt;"",E315&lt;&gt;""),D315*E315+IF(ISBLANK(F315),0,F315),"")</f>
        <v/>
      </c>
    </row>
    <row r="316">
      <c r="G316">
        <f>IF(AND(D316&lt;&gt;"",E316&lt;&gt;""),D316*E316+IF(ISBLANK(F316),0,F316),"")</f>
        <v/>
      </c>
    </row>
    <row r="317">
      <c r="G317">
        <f>IF(AND(D317&lt;&gt;"",E317&lt;&gt;""),D317*E317+IF(ISBLANK(F317),0,F317),"")</f>
        <v/>
      </c>
    </row>
    <row r="318">
      <c r="G318">
        <f>IF(AND(D318&lt;&gt;"",E318&lt;&gt;""),D318*E318+IF(ISBLANK(F318),0,F318),"")</f>
        <v/>
      </c>
    </row>
    <row r="319">
      <c r="G319">
        <f>IF(AND(D319&lt;&gt;"",E319&lt;&gt;""),D319*E319+IF(ISBLANK(F319),0,F319),"")</f>
        <v/>
      </c>
    </row>
    <row r="320">
      <c r="G320">
        <f>IF(AND(D320&lt;&gt;"",E320&lt;&gt;""),D320*E320+IF(ISBLANK(F320),0,F320),"")</f>
        <v/>
      </c>
    </row>
    <row r="321">
      <c r="G321">
        <f>IF(AND(D321&lt;&gt;"",E321&lt;&gt;""),D321*E321+IF(ISBLANK(F321),0,F321),"")</f>
        <v/>
      </c>
    </row>
    <row r="322">
      <c r="G322">
        <f>IF(AND(D322&lt;&gt;"",E322&lt;&gt;""),D322*E322+IF(ISBLANK(F322),0,F322),"")</f>
        <v/>
      </c>
    </row>
    <row r="323">
      <c r="G323">
        <f>IF(AND(D323&lt;&gt;"",E323&lt;&gt;""),D323*E323+IF(ISBLANK(F323),0,F323),"")</f>
        <v/>
      </c>
    </row>
    <row r="324">
      <c r="G324">
        <f>IF(AND(D324&lt;&gt;"",E324&lt;&gt;""),D324*E324+IF(ISBLANK(F324),0,F324),"")</f>
        <v/>
      </c>
    </row>
    <row r="325">
      <c r="G325">
        <f>IF(AND(D325&lt;&gt;"",E325&lt;&gt;""),D325*E325+IF(ISBLANK(F325),0,F325),"")</f>
        <v/>
      </c>
    </row>
    <row r="326">
      <c r="G326">
        <f>IF(AND(D326&lt;&gt;"",E326&lt;&gt;""),D326*E326+IF(ISBLANK(F326),0,F326),"")</f>
        <v/>
      </c>
    </row>
    <row r="327">
      <c r="G327">
        <f>IF(AND(D327&lt;&gt;"",E327&lt;&gt;""),D327*E327+IF(ISBLANK(F327),0,F327),"")</f>
        <v/>
      </c>
    </row>
    <row r="328">
      <c r="G328">
        <f>IF(AND(D328&lt;&gt;"",E328&lt;&gt;""),D328*E328+IF(ISBLANK(F328),0,F328),"")</f>
        <v/>
      </c>
    </row>
    <row r="329">
      <c r="G329">
        <f>IF(AND(D329&lt;&gt;"",E329&lt;&gt;""),D329*E329+IF(ISBLANK(F329),0,F329),"")</f>
        <v/>
      </c>
    </row>
    <row r="330">
      <c r="G330">
        <f>IF(AND(D330&lt;&gt;"",E330&lt;&gt;""),D330*E330+IF(ISBLANK(F330),0,F330),"")</f>
        <v/>
      </c>
    </row>
    <row r="331">
      <c r="G331">
        <f>IF(AND(D331&lt;&gt;"",E331&lt;&gt;""),D331*E331+IF(ISBLANK(F331),0,F331),"")</f>
        <v/>
      </c>
    </row>
    <row r="332">
      <c r="G332">
        <f>IF(AND(D332&lt;&gt;"",E332&lt;&gt;""),D332*E332+IF(ISBLANK(F332),0,F332),"")</f>
        <v/>
      </c>
    </row>
    <row r="333">
      <c r="G333">
        <f>IF(AND(D333&lt;&gt;"",E333&lt;&gt;""),D333*E333+IF(ISBLANK(F333),0,F333),"")</f>
        <v/>
      </c>
    </row>
    <row r="334">
      <c r="G334">
        <f>IF(AND(D334&lt;&gt;"",E334&lt;&gt;""),D334*E334+IF(ISBLANK(F334),0,F334),"")</f>
        <v/>
      </c>
    </row>
    <row r="335">
      <c r="G335">
        <f>IF(AND(D335&lt;&gt;"",E335&lt;&gt;""),D335*E335+IF(ISBLANK(F335),0,F335),"")</f>
        <v/>
      </c>
    </row>
    <row r="336">
      <c r="G336">
        <f>IF(AND(D336&lt;&gt;"",E336&lt;&gt;""),D336*E336+IF(ISBLANK(F336),0,F336),"")</f>
        <v/>
      </c>
    </row>
    <row r="337">
      <c r="G337">
        <f>IF(AND(D337&lt;&gt;"",E337&lt;&gt;""),D337*E337+IF(ISBLANK(F337),0,F337),"")</f>
        <v/>
      </c>
    </row>
    <row r="338">
      <c r="G338">
        <f>IF(AND(D338&lt;&gt;"",E338&lt;&gt;""),D338*E338+IF(ISBLANK(F338),0,F338),"")</f>
        <v/>
      </c>
    </row>
    <row r="339">
      <c r="G339">
        <f>IF(AND(D339&lt;&gt;"",E339&lt;&gt;""),D339*E339+IF(ISBLANK(F339),0,F339),"")</f>
        <v/>
      </c>
    </row>
    <row r="340">
      <c r="G340">
        <f>IF(AND(D340&lt;&gt;"",E340&lt;&gt;""),D340*E340+IF(ISBLANK(F340),0,F340),"")</f>
        <v/>
      </c>
    </row>
    <row r="341">
      <c r="G341">
        <f>IF(AND(D341&lt;&gt;"",E341&lt;&gt;""),D341*E341+IF(ISBLANK(F341),0,F341),"")</f>
        <v/>
      </c>
    </row>
    <row r="342">
      <c r="G342">
        <f>IF(AND(D342&lt;&gt;"",E342&lt;&gt;""),D342*E342+IF(ISBLANK(F342),0,F342),"")</f>
        <v/>
      </c>
    </row>
    <row r="343">
      <c r="G343">
        <f>IF(AND(D343&lt;&gt;"",E343&lt;&gt;""),D343*E343+IF(ISBLANK(F343),0,F343),"")</f>
        <v/>
      </c>
    </row>
    <row r="344">
      <c r="G344">
        <f>IF(AND(D344&lt;&gt;"",E344&lt;&gt;""),D344*E344+IF(ISBLANK(F344),0,F344),"")</f>
        <v/>
      </c>
    </row>
    <row r="345">
      <c r="G345">
        <f>IF(AND(D345&lt;&gt;"",E345&lt;&gt;""),D345*E345+IF(ISBLANK(F345),0,F345),"")</f>
        <v/>
      </c>
    </row>
    <row r="346">
      <c r="G346">
        <f>IF(AND(D346&lt;&gt;"",E346&lt;&gt;""),D346*E346+IF(ISBLANK(F346),0,F346),"")</f>
        <v/>
      </c>
    </row>
    <row r="347">
      <c r="G347">
        <f>IF(AND(D347&lt;&gt;"",E347&lt;&gt;""),D347*E347+IF(ISBLANK(F347),0,F347),"")</f>
        <v/>
      </c>
    </row>
    <row r="348">
      <c r="G348">
        <f>IF(AND(D348&lt;&gt;"",E348&lt;&gt;""),D348*E348+IF(ISBLANK(F348),0,F348),"")</f>
        <v/>
      </c>
    </row>
    <row r="349">
      <c r="G349">
        <f>IF(AND(D349&lt;&gt;"",E349&lt;&gt;""),D349*E349+IF(ISBLANK(F349),0,F349),"")</f>
        <v/>
      </c>
    </row>
    <row r="350">
      <c r="G350">
        <f>IF(AND(D350&lt;&gt;"",E350&lt;&gt;""),D350*E350+IF(ISBLANK(F350),0,F350),"")</f>
        <v/>
      </c>
    </row>
    <row r="351">
      <c r="G351">
        <f>IF(AND(D351&lt;&gt;"",E351&lt;&gt;""),D351*E351+IF(ISBLANK(F351),0,F351),"")</f>
        <v/>
      </c>
    </row>
    <row r="352">
      <c r="G352">
        <f>IF(AND(D352&lt;&gt;"",E352&lt;&gt;""),D352*E352+IF(ISBLANK(F352),0,F352),"")</f>
        <v/>
      </c>
    </row>
    <row r="353">
      <c r="G353">
        <f>IF(AND(D353&lt;&gt;"",E353&lt;&gt;""),D353*E353+IF(ISBLANK(F353),0,F353),"")</f>
        <v/>
      </c>
    </row>
    <row r="354">
      <c r="G354">
        <f>IF(AND(D354&lt;&gt;"",E354&lt;&gt;""),D354*E354+IF(ISBLANK(F354),0,F354),"")</f>
        <v/>
      </c>
    </row>
    <row r="355">
      <c r="G355">
        <f>IF(AND(D355&lt;&gt;"",E355&lt;&gt;""),D355*E355+IF(ISBLANK(F355),0,F355),"")</f>
        <v/>
      </c>
    </row>
    <row r="356">
      <c r="G356">
        <f>IF(AND(D356&lt;&gt;"",E356&lt;&gt;""),D356*E356+IF(ISBLANK(F356),0,F356),"")</f>
        <v/>
      </c>
    </row>
    <row r="357">
      <c r="G357">
        <f>IF(AND(D357&lt;&gt;"",E357&lt;&gt;""),D357*E357+IF(ISBLANK(F357),0,F357),"")</f>
        <v/>
      </c>
    </row>
    <row r="358">
      <c r="G358">
        <f>IF(AND(D358&lt;&gt;"",E358&lt;&gt;""),D358*E358+IF(ISBLANK(F358),0,F358),"")</f>
        <v/>
      </c>
    </row>
    <row r="359">
      <c r="G359">
        <f>IF(AND(D359&lt;&gt;"",E359&lt;&gt;""),D359*E359+IF(ISBLANK(F359),0,F359),"")</f>
        <v/>
      </c>
    </row>
    <row r="360">
      <c r="G360">
        <f>IF(AND(D360&lt;&gt;"",E360&lt;&gt;""),D360*E360+IF(ISBLANK(F360),0,F360),"")</f>
        <v/>
      </c>
    </row>
    <row r="361">
      <c r="G361">
        <f>IF(AND(D361&lt;&gt;"",E361&lt;&gt;""),D361*E361+IF(ISBLANK(F361),0,F361),"")</f>
        <v/>
      </c>
    </row>
    <row r="362">
      <c r="G362">
        <f>IF(AND(D362&lt;&gt;"",E362&lt;&gt;""),D362*E362+IF(ISBLANK(F362),0,F362),"")</f>
        <v/>
      </c>
    </row>
    <row r="363">
      <c r="G363">
        <f>IF(AND(D363&lt;&gt;"",E363&lt;&gt;""),D363*E363+IF(ISBLANK(F363),0,F363),"")</f>
        <v/>
      </c>
    </row>
    <row r="364">
      <c r="G364">
        <f>IF(AND(D364&lt;&gt;"",E364&lt;&gt;""),D364*E364+IF(ISBLANK(F364),0,F364),"")</f>
        <v/>
      </c>
    </row>
    <row r="365">
      <c r="G365">
        <f>IF(AND(D365&lt;&gt;"",E365&lt;&gt;""),D365*E365+IF(ISBLANK(F365),0,F365),"")</f>
        <v/>
      </c>
    </row>
    <row r="366">
      <c r="G366">
        <f>IF(AND(D366&lt;&gt;"",E366&lt;&gt;""),D366*E366+IF(ISBLANK(F366),0,F366),"")</f>
        <v/>
      </c>
    </row>
    <row r="367">
      <c r="G367">
        <f>IF(AND(D367&lt;&gt;"",E367&lt;&gt;""),D367*E367+IF(ISBLANK(F367),0,F367),"")</f>
        <v/>
      </c>
    </row>
    <row r="368">
      <c r="G368">
        <f>IF(AND(D368&lt;&gt;"",E368&lt;&gt;""),D368*E368+IF(ISBLANK(F368),0,F368),"")</f>
        <v/>
      </c>
    </row>
    <row r="369">
      <c r="G369">
        <f>IF(AND(D369&lt;&gt;"",E369&lt;&gt;""),D369*E369+IF(ISBLANK(F369),0,F369),"")</f>
        <v/>
      </c>
    </row>
    <row r="370">
      <c r="G370">
        <f>IF(AND(D370&lt;&gt;"",E370&lt;&gt;""),D370*E370+IF(ISBLANK(F370),0,F370),"")</f>
        <v/>
      </c>
    </row>
    <row r="371">
      <c r="G371">
        <f>IF(AND(D371&lt;&gt;"",E371&lt;&gt;""),D371*E371+IF(ISBLANK(F371),0,F371),"")</f>
        <v/>
      </c>
    </row>
    <row r="372">
      <c r="G372">
        <f>IF(AND(D372&lt;&gt;"",E372&lt;&gt;""),D372*E372+IF(ISBLANK(F372),0,F372),"")</f>
        <v/>
      </c>
    </row>
    <row r="373">
      <c r="G373">
        <f>IF(AND(D373&lt;&gt;"",E373&lt;&gt;""),D373*E373+IF(ISBLANK(F373),0,F373),"")</f>
        <v/>
      </c>
    </row>
    <row r="374">
      <c r="G374">
        <f>IF(AND(D374&lt;&gt;"",E374&lt;&gt;""),D374*E374+IF(ISBLANK(F374),0,F374),"")</f>
        <v/>
      </c>
    </row>
    <row r="375">
      <c r="G375">
        <f>IF(AND(D375&lt;&gt;"",E375&lt;&gt;""),D375*E375+IF(ISBLANK(F375),0,F375),"")</f>
        <v/>
      </c>
    </row>
    <row r="376">
      <c r="G376">
        <f>IF(AND(D376&lt;&gt;"",E376&lt;&gt;""),D376*E376+IF(ISBLANK(F376),0,F376),"")</f>
        <v/>
      </c>
    </row>
    <row r="377">
      <c r="G377">
        <f>IF(AND(D377&lt;&gt;"",E377&lt;&gt;""),D377*E377+IF(ISBLANK(F377),0,F377),"")</f>
        <v/>
      </c>
    </row>
    <row r="378">
      <c r="G378">
        <f>IF(AND(D378&lt;&gt;"",E378&lt;&gt;""),D378*E378+IF(ISBLANK(F378),0,F378),"")</f>
        <v/>
      </c>
    </row>
    <row r="379">
      <c r="G379">
        <f>IF(AND(D379&lt;&gt;"",E379&lt;&gt;""),D379*E379+IF(ISBLANK(F379),0,F379),"")</f>
        <v/>
      </c>
    </row>
    <row r="380">
      <c r="G380">
        <f>IF(AND(D380&lt;&gt;"",E380&lt;&gt;""),D380*E380+IF(ISBLANK(F380),0,F380),"")</f>
        <v/>
      </c>
    </row>
    <row r="381">
      <c r="G381">
        <f>IF(AND(D381&lt;&gt;"",E381&lt;&gt;""),D381*E381+IF(ISBLANK(F381),0,F381),"")</f>
        <v/>
      </c>
    </row>
    <row r="382">
      <c r="G382">
        <f>IF(AND(D382&lt;&gt;"",E382&lt;&gt;""),D382*E382+IF(ISBLANK(F382),0,F382),"")</f>
        <v/>
      </c>
    </row>
    <row r="383">
      <c r="G383">
        <f>IF(AND(D383&lt;&gt;"",E383&lt;&gt;""),D383*E383+IF(ISBLANK(F383),0,F383),"")</f>
        <v/>
      </c>
    </row>
    <row r="384">
      <c r="G384">
        <f>IF(AND(D384&lt;&gt;"",E384&lt;&gt;""),D384*E384+IF(ISBLANK(F384),0,F384),"")</f>
        <v/>
      </c>
    </row>
    <row r="385">
      <c r="G385">
        <f>IF(AND(D385&lt;&gt;"",E385&lt;&gt;""),D385*E385+IF(ISBLANK(F385),0,F385),"")</f>
        <v/>
      </c>
    </row>
    <row r="386">
      <c r="G386">
        <f>IF(AND(D386&lt;&gt;"",E386&lt;&gt;""),D386*E386+IF(ISBLANK(F386),0,F386),"")</f>
        <v/>
      </c>
    </row>
    <row r="387">
      <c r="G387">
        <f>IF(AND(D387&lt;&gt;"",E387&lt;&gt;""),D387*E387+IF(ISBLANK(F387),0,F387),"")</f>
        <v/>
      </c>
    </row>
    <row r="388">
      <c r="G388">
        <f>IF(AND(D388&lt;&gt;"",E388&lt;&gt;""),D388*E388+IF(ISBLANK(F388),0,F388),"")</f>
        <v/>
      </c>
    </row>
    <row r="389">
      <c r="G389">
        <f>IF(AND(D389&lt;&gt;"",E389&lt;&gt;""),D389*E389+IF(ISBLANK(F389),0,F389),"")</f>
        <v/>
      </c>
    </row>
    <row r="390">
      <c r="G390">
        <f>IF(AND(D390&lt;&gt;"",E390&lt;&gt;""),D390*E390+IF(ISBLANK(F390),0,F390),"")</f>
        <v/>
      </c>
    </row>
    <row r="391">
      <c r="G391">
        <f>IF(AND(D391&lt;&gt;"",E391&lt;&gt;""),D391*E391+IF(ISBLANK(F391),0,F391),"")</f>
        <v/>
      </c>
    </row>
    <row r="392">
      <c r="G392">
        <f>IF(AND(D392&lt;&gt;"",E392&lt;&gt;""),D392*E392+IF(ISBLANK(F392),0,F392),"")</f>
        <v/>
      </c>
    </row>
    <row r="393">
      <c r="G393">
        <f>IF(AND(D393&lt;&gt;"",E393&lt;&gt;""),D393*E393+IF(ISBLANK(F393),0,F393),"")</f>
        <v/>
      </c>
    </row>
    <row r="394">
      <c r="G394">
        <f>IF(AND(D394&lt;&gt;"",E394&lt;&gt;""),D394*E394+IF(ISBLANK(F394),0,F394),"")</f>
        <v/>
      </c>
    </row>
    <row r="395">
      <c r="G395">
        <f>IF(AND(D395&lt;&gt;"",E395&lt;&gt;""),D395*E395+IF(ISBLANK(F395),0,F395),"")</f>
        <v/>
      </c>
    </row>
    <row r="396">
      <c r="G396">
        <f>IF(AND(D396&lt;&gt;"",E396&lt;&gt;""),D396*E396+IF(ISBLANK(F396),0,F396),"")</f>
        <v/>
      </c>
    </row>
    <row r="397">
      <c r="G397">
        <f>IF(AND(D397&lt;&gt;"",E397&lt;&gt;""),D397*E397+IF(ISBLANK(F397),0,F397),"")</f>
        <v/>
      </c>
    </row>
    <row r="398">
      <c r="G398">
        <f>IF(AND(D398&lt;&gt;"",E398&lt;&gt;""),D398*E398+IF(ISBLANK(F398),0,F398),"")</f>
        <v/>
      </c>
    </row>
    <row r="399">
      <c r="G399">
        <f>IF(AND(D399&lt;&gt;"",E399&lt;&gt;""),D399*E399+IF(ISBLANK(F399),0,F399),"")</f>
        <v/>
      </c>
    </row>
    <row r="400">
      <c r="G400">
        <f>IF(AND(D400&lt;&gt;"",E400&lt;&gt;""),D400*E400+IF(ISBLANK(F400),0,F400),"")</f>
        <v/>
      </c>
    </row>
    <row r="401">
      <c r="G401">
        <f>IF(AND(D401&lt;&gt;"",E401&lt;&gt;""),D401*E401+IF(ISBLANK(F401),0,F401),"")</f>
        <v/>
      </c>
    </row>
    <row r="402">
      <c r="G402">
        <f>IF(AND(D402&lt;&gt;"",E402&lt;&gt;""),D402*E402+IF(ISBLANK(F402),0,F402),"")</f>
        <v/>
      </c>
    </row>
    <row r="403">
      <c r="G403">
        <f>IF(AND(D403&lt;&gt;"",E403&lt;&gt;""),D403*E403+IF(ISBLANK(F403),0,F403),"")</f>
        <v/>
      </c>
    </row>
    <row r="404">
      <c r="G404">
        <f>IF(AND(D404&lt;&gt;"",E404&lt;&gt;""),D404*E404+IF(ISBLANK(F404),0,F404),"")</f>
        <v/>
      </c>
    </row>
    <row r="405">
      <c r="G405">
        <f>IF(AND(D405&lt;&gt;"",E405&lt;&gt;""),D405*E405+IF(ISBLANK(F405),0,F405),"")</f>
        <v/>
      </c>
    </row>
    <row r="406">
      <c r="G406">
        <f>IF(AND(D406&lt;&gt;"",E406&lt;&gt;""),D406*E406+IF(ISBLANK(F406),0,F406),"")</f>
        <v/>
      </c>
    </row>
    <row r="407">
      <c r="G407">
        <f>IF(AND(D407&lt;&gt;"",E407&lt;&gt;""),D407*E407+IF(ISBLANK(F407),0,F407),"")</f>
        <v/>
      </c>
    </row>
    <row r="408">
      <c r="G408">
        <f>IF(AND(D408&lt;&gt;"",E408&lt;&gt;""),D408*E408+IF(ISBLANK(F408),0,F408),"")</f>
        <v/>
      </c>
    </row>
    <row r="409">
      <c r="G409">
        <f>IF(AND(D409&lt;&gt;"",E409&lt;&gt;""),D409*E409+IF(ISBLANK(F409),0,F409),"")</f>
        <v/>
      </c>
    </row>
    <row r="410">
      <c r="G410">
        <f>IF(AND(D410&lt;&gt;"",E410&lt;&gt;""),D410*E410+IF(ISBLANK(F410),0,F410),"")</f>
        <v/>
      </c>
    </row>
    <row r="411">
      <c r="G411">
        <f>IF(AND(D411&lt;&gt;"",E411&lt;&gt;""),D411*E411+IF(ISBLANK(F411),0,F411),"")</f>
        <v/>
      </c>
    </row>
    <row r="412">
      <c r="G412">
        <f>IF(AND(D412&lt;&gt;"",E412&lt;&gt;""),D412*E412+IF(ISBLANK(F412),0,F412),"")</f>
        <v/>
      </c>
    </row>
    <row r="413">
      <c r="G413">
        <f>IF(AND(D413&lt;&gt;"",E413&lt;&gt;""),D413*E413+IF(ISBLANK(F413),0,F413),"")</f>
        <v/>
      </c>
    </row>
    <row r="414">
      <c r="G414">
        <f>IF(AND(D414&lt;&gt;"",E414&lt;&gt;""),D414*E414+IF(ISBLANK(F414),0,F414),"")</f>
        <v/>
      </c>
    </row>
    <row r="415">
      <c r="G415">
        <f>IF(AND(D415&lt;&gt;"",E415&lt;&gt;""),D415*E415+IF(ISBLANK(F415),0,F415),"")</f>
        <v/>
      </c>
    </row>
    <row r="416">
      <c r="G416">
        <f>IF(AND(D416&lt;&gt;"",E416&lt;&gt;""),D416*E416+IF(ISBLANK(F416),0,F416),"")</f>
        <v/>
      </c>
    </row>
    <row r="417">
      <c r="G417">
        <f>IF(AND(D417&lt;&gt;"",E417&lt;&gt;""),D417*E417+IF(ISBLANK(F417),0,F417),"")</f>
        <v/>
      </c>
    </row>
    <row r="418">
      <c r="G418">
        <f>IF(AND(D418&lt;&gt;"",E418&lt;&gt;""),D418*E418+IF(ISBLANK(F418),0,F418),"")</f>
        <v/>
      </c>
    </row>
    <row r="419">
      <c r="G419">
        <f>IF(AND(D419&lt;&gt;"",E419&lt;&gt;""),D419*E419+IF(ISBLANK(F419),0,F419),"")</f>
        <v/>
      </c>
    </row>
    <row r="420">
      <c r="G420">
        <f>IF(AND(D420&lt;&gt;"",E420&lt;&gt;""),D420*E420+IF(ISBLANK(F420),0,F420),"")</f>
        <v/>
      </c>
    </row>
    <row r="421">
      <c r="G421">
        <f>IF(AND(D421&lt;&gt;"",E421&lt;&gt;""),D421*E421+IF(ISBLANK(F421),0,F421),"")</f>
        <v/>
      </c>
    </row>
    <row r="422">
      <c r="G422">
        <f>IF(AND(D422&lt;&gt;"",E422&lt;&gt;""),D422*E422+IF(ISBLANK(F422),0,F422),"")</f>
        <v/>
      </c>
    </row>
    <row r="423">
      <c r="G423">
        <f>IF(AND(D423&lt;&gt;"",E423&lt;&gt;""),D423*E423+IF(ISBLANK(F423),0,F423),"")</f>
        <v/>
      </c>
    </row>
    <row r="424">
      <c r="G424">
        <f>IF(AND(D424&lt;&gt;"",E424&lt;&gt;""),D424*E424+IF(ISBLANK(F424),0,F424),"")</f>
        <v/>
      </c>
    </row>
    <row r="425">
      <c r="G425">
        <f>IF(AND(D425&lt;&gt;"",E425&lt;&gt;""),D425*E425+IF(ISBLANK(F425),0,F425),"")</f>
        <v/>
      </c>
    </row>
    <row r="426">
      <c r="G426">
        <f>IF(AND(D426&lt;&gt;"",E426&lt;&gt;""),D426*E426+IF(ISBLANK(F426),0,F426),"")</f>
        <v/>
      </c>
    </row>
    <row r="427">
      <c r="G427">
        <f>IF(AND(D427&lt;&gt;"",E427&lt;&gt;""),D427*E427+IF(ISBLANK(F427),0,F427),"")</f>
        <v/>
      </c>
    </row>
    <row r="428">
      <c r="G428">
        <f>IF(AND(D428&lt;&gt;"",E428&lt;&gt;""),D428*E428+IF(ISBLANK(F428),0,F428),"")</f>
        <v/>
      </c>
    </row>
    <row r="429">
      <c r="G429">
        <f>IF(AND(D429&lt;&gt;"",E429&lt;&gt;""),D429*E429+IF(ISBLANK(F429),0,F429),"")</f>
        <v/>
      </c>
    </row>
    <row r="430">
      <c r="G430">
        <f>IF(AND(D430&lt;&gt;"",E430&lt;&gt;""),D430*E430+IF(ISBLANK(F430),0,F430),"")</f>
        <v/>
      </c>
    </row>
    <row r="431">
      <c r="G431">
        <f>IF(AND(D431&lt;&gt;"",E431&lt;&gt;""),D431*E431+IF(ISBLANK(F431),0,F431),"")</f>
        <v/>
      </c>
    </row>
    <row r="432">
      <c r="G432">
        <f>IF(AND(D432&lt;&gt;"",E432&lt;&gt;""),D432*E432+IF(ISBLANK(F432),0,F432),"")</f>
        <v/>
      </c>
    </row>
    <row r="433">
      <c r="G433">
        <f>IF(AND(D433&lt;&gt;"",E433&lt;&gt;""),D433*E433+IF(ISBLANK(F433),0,F433),"")</f>
        <v/>
      </c>
    </row>
    <row r="434">
      <c r="G434">
        <f>IF(AND(D434&lt;&gt;"",E434&lt;&gt;""),D434*E434+IF(ISBLANK(F434),0,F434),"")</f>
        <v/>
      </c>
    </row>
    <row r="435">
      <c r="G435">
        <f>IF(AND(D435&lt;&gt;"",E435&lt;&gt;""),D435*E435+IF(ISBLANK(F435),0,F435),"")</f>
        <v/>
      </c>
    </row>
    <row r="436">
      <c r="G436">
        <f>IF(AND(D436&lt;&gt;"",E436&lt;&gt;""),D436*E436+IF(ISBLANK(F436),0,F436),"")</f>
        <v/>
      </c>
    </row>
    <row r="437">
      <c r="G437">
        <f>IF(AND(D437&lt;&gt;"",E437&lt;&gt;""),D437*E437+IF(ISBLANK(F437),0,F437),"")</f>
        <v/>
      </c>
    </row>
    <row r="438">
      <c r="G438">
        <f>IF(AND(D438&lt;&gt;"",E438&lt;&gt;""),D438*E438+IF(ISBLANK(F438),0,F438),"")</f>
        <v/>
      </c>
    </row>
    <row r="439">
      <c r="G439">
        <f>IF(AND(D439&lt;&gt;"",E439&lt;&gt;""),D439*E439+IF(ISBLANK(F439),0,F439),"")</f>
        <v/>
      </c>
    </row>
    <row r="440">
      <c r="G440">
        <f>IF(AND(D440&lt;&gt;"",E440&lt;&gt;""),D440*E440+IF(ISBLANK(F440),0,F440),"")</f>
        <v/>
      </c>
    </row>
    <row r="441">
      <c r="G441">
        <f>IF(AND(D441&lt;&gt;"",E441&lt;&gt;""),D441*E441+IF(ISBLANK(F441),0,F441),"")</f>
        <v/>
      </c>
    </row>
    <row r="442">
      <c r="G442">
        <f>IF(AND(D442&lt;&gt;"",E442&lt;&gt;""),D442*E442+IF(ISBLANK(F442),0,F442),"")</f>
        <v/>
      </c>
    </row>
    <row r="443">
      <c r="G443">
        <f>IF(AND(D443&lt;&gt;"",E443&lt;&gt;""),D443*E443+IF(ISBLANK(F443),0,F443),"")</f>
        <v/>
      </c>
    </row>
    <row r="444">
      <c r="G444">
        <f>IF(AND(D444&lt;&gt;"",E444&lt;&gt;""),D444*E444+IF(ISBLANK(F444),0,F444),"")</f>
        <v/>
      </c>
    </row>
    <row r="445">
      <c r="G445">
        <f>IF(AND(D445&lt;&gt;"",E445&lt;&gt;""),D445*E445+IF(ISBLANK(F445),0,F445),"")</f>
        <v/>
      </c>
    </row>
    <row r="446">
      <c r="G446">
        <f>IF(AND(D446&lt;&gt;"",E446&lt;&gt;""),D446*E446+IF(ISBLANK(F446),0,F446),"")</f>
        <v/>
      </c>
    </row>
    <row r="447">
      <c r="G447">
        <f>IF(AND(D447&lt;&gt;"",E447&lt;&gt;""),D447*E447+IF(ISBLANK(F447),0,F447),"")</f>
        <v/>
      </c>
    </row>
    <row r="448">
      <c r="G448">
        <f>IF(AND(D448&lt;&gt;"",E448&lt;&gt;""),D448*E448+IF(ISBLANK(F448),0,F448),"")</f>
        <v/>
      </c>
    </row>
    <row r="449">
      <c r="G449">
        <f>IF(AND(D449&lt;&gt;"",E449&lt;&gt;""),D449*E449+IF(ISBLANK(F449),0,F449),"")</f>
        <v/>
      </c>
    </row>
    <row r="450">
      <c r="G450">
        <f>IF(AND(D450&lt;&gt;"",E450&lt;&gt;""),D450*E450+IF(ISBLANK(F450),0,F450),"")</f>
        <v/>
      </c>
    </row>
    <row r="451">
      <c r="G451">
        <f>IF(AND(D451&lt;&gt;"",E451&lt;&gt;""),D451*E451+IF(ISBLANK(F451),0,F451),"")</f>
        <v/>
      </c>
    </row>
    <row r="452">
      <c r="G452">
        <f>IF(AND(D452&lt;&gt;"",E452&lt;&gt;""),D452*E452+IF(ISBLANK(F452),0,F452),"")</f>
        <v/>
      </c>
    </row>
    <row r="453">
      <c r="G453">
        <f>IF(AND(D453&lt;&gt;"",E453&lt;&gt;""),D453*E453+IF(ISBLANK(F453),0,F453),"")</f>
        <v/>
      </c>
    </row>
    <row r="454">
      <c r="G454">
        <f>IF(AND(D454&lt;&gt;"",E454&lt;&gt;""),D454*E454+IF(ISBLANK(F454),0,F454),"")</f>
        <v/>
      </c>
    </row>
    <row r="455">
      <c r="G455">
        <f>IF(AND(D455&lt;&gt;"",E455&lt;&gt;""),D455*E455+IF(ISBLANK(F455),0,F455),"")</f>
        <v/>
      </c>
    </row>
    <row r="456">
      <c r="G456">
        <f>IF(AND(D456&lt;&gt;"",E456&lt;&gt;""),D456*E456+IF(ISBLANK(F456),0,F456),"")</f>
        <v/>
      </c>
    </row>
    <row r="457">
      <c r="G457">
        <f>IF(AND(D457&lt;&gt;"",E457&lt;&gt;""),D457*E457+IF(ISBLANK(F457),0,F457),"")</f>
        <v/>
      </c>
    </row>
    <row r="458">
      <c r="G458">
        <f>IF(AND(D458&lt;&gt;"",E458&lt;&gt;""),D458*E458+IF(ISBLANK(F458),0,F458),"")</f>
        <v/>
      </c>
    </row>
    <row r="459">
      <c r="G459">
        <f>IF(AND(D459&lt;&gt;"",E459&lt;&gt;""),D459*E459+IF(ISBLANK(F459),0,F459),"")</f>
        <v/>
      </c>
    </row>
    <row r="460">
      <c r="G460">
        <f>IF(AND(D460&lt;&gt;"",E460&lt;&gt;""),D460*E460+IF(ISBLANK(F460),0,F460),"")</f>
        <v/>
      </c>
    </row>
    <row r="461">
      <c r="G461">
        <f>IF(AND(D461&lt;&gt;"",E461&lt;&gt;""),D461*E461+IF(ISBLANK(F461),0,F461),"")</f>
        <v/>
      </c>
    </row>
    <row r="462">
      <c r="G462">
        <f>IF(AND(D462&lt;&gt;"",E462&lt;&gt;""),D462*E462+IF(ISBLANK(F462),0,F462),"")</f>
        <v/>
      </c>
    </row>
    <row r="463">
      <c r="G463">
        <f>IF(AND(D463&lt;&gt;"",E463&lt;&gt;""),D463*E463+IF(ISBLANK(F463),0,F463),"")</f>
        <v/>
      </c>
    </row>
    <row r="464">
      <c r="G464">
        <f>IF(AND(D464&lt;&gt;"",E464&lt;&gt;""),D464*E464+IF(ISBLANK(F464),0,F464),"")</f>
        <v/>
      </c>
    </row>
    <row r="465">
      <c r="G465">
        <f>IF(AND(D465&lt;&gt;"",E465&lt;&gt;""),D465*E465+IF(ISBLANK(F465),0,F465),"")</f>
        <v/>
      </c>
    </row>
    <row r="466">
      <c r="G466">
        <f>IF(AND(D466&lt;&gt;"",E466&lt;&gt;""),D466*E466+IF(ISBLANK(F466),0,F466),"")</f>
        <v/>
      </c>
    </row>
    <row r="467">
      <c r="G467">
        <f>IF(AND(D467&lt;&gt;"",E467&lt;&gt;""),D467*E467+IF(ISBLANK(F467),0,F467),"")</f>
        <v/>
      </c>
    </row>
    <row r="468">
      <c r="G468">
        <f>IF(AND(D468&lt;&gt;"",E468&lt;&gt;""),D468*E468+IF(ISBLANK(F468),0,F468),"")</f>
        <v/>
      </c>
    </row>
    <row r="469">
      <c r="G469">
        <f>IF(AND(D469&lt;&gt;"",E469&lt;&gt;""),D469*E469+IF(ISBLANK(F469),0,F469),"")</f>
        <v/>
      </c>
    </row>
    <row r="470">
      <c r="G470">
        <f>IF(AND(D470&lt;&gt;"",E470&lt;&gt;""),D470*E470+IF(ISBLANK(F470),0,F470),"")</f>
        <v/>
      </c>
    </row>
    <row r="471">
      <c r="G471">
        <f>IF(AND(D471&lt;&gt;"",E471&lt;&gt;""),D471*E471+IF(ISBLANK(F471),0,F471),"")</f>
        <v/>
      </c>
    </row>
    <row r="472">
      <c r="G472">
        <f>IF(AND(D472&lt;&gt;"",E472&lt;&gt;""),D472*E472+IF(ISBLANK(F472),0,F472),"")</f>
        <v/>
      </c>
    </row>
    <row r="473">
      <c r="G473">
        <f>IF(AND(D473&lt;&gt;"",E473&lt;&gt;""),D473*E473+IF(ISBLANK(F473),0,F473),"")</f>
        <v/>
      </c>
    </row>
    <row r="474">
      <c r="G474">
        <f>IF(AND(D474&lt;&gt;"",E474&lt;&gt;""),D474*E474+IF(ISBLANK(F474),0,F474),"")</f>
        <v/>
      </c>
    </row>
    <row r="475">
      <c r="G475">
        <f>IF(AND(D475&lt;&gt;"",E475&lt;&gt;""),D475*E475+IF(ISBLANK(F475),0,F475),"")</f>
        <v/>
      </c>
    </row>
    <row r="476">
      <c r="G476">
        <f>IF(AND(D476&lt;&gt;"",E476&lt;&gt;""),D476*E476+IF(ISBLANK(F476),0,F476),"")</f>
        <v/>
      </c>
    </row>
    <row r="477">
      <c r="G477">
        <f>IF(AND(D477&lt;&gt;"",E477&lt;&gt;""),D477*E477+IF(ISBLANK(F477),0,F477),"")</f>
        <v/>
      </c>
    </row>
    <row r="478">
      <c r="G478">
        <f>IF(AND(D478&lt;&gt;"",E478&lt;&gt;""),D478*E478+IF(ISBLANK(F478),0,F478),"")</f>
        <v/>
      </c>
    </row>
    <row r="479">
      <c r="G479">
        <f>IF(AND(D479&lt;&gt;"",E479&lt;&gt;""),D479*E479+IF(ISBLANK(F479),0,F479),"")</f>
        <v/>
      </c>
    </row>
    <row r="480">
      <c r="G480">
        <f>IF(AND(D480&lt;&gt;"",E480&lt;&gt;""),D480*E480+IF(ISBLANK(F480),0,F480),"")</f>
        <v/>
      </c>
    </row>
    <row r="481">
      <c r="G481">
        <f>IF(AND(D481&lt;&gt;"",E481&lt;&gt;""),D481*E481+IF(ISBLANK(F481),0,F481),"")</f>
        <v/>
      </c>
    </row>
    <row r="482">
      <c r="G482">
        <f>IF(AND(D482&lt;&gt;"",E482&lt;&gt;""),D482*E482+IF(ISBLANK(F482),0,F482),"")</f>
        <v/>
      </c>
    </row>
    <row r="483">
      <c r="G483">
        <f>IF(AND(D483&lt;&gt;"",E483&lt;&gt;""),D483*E483+IF(ISBLANK(F483),0,F483),"")</f>
        <v/>
      </c>
    </row>
    <row r="484">
      <c r="G484">
        <f>IF(AND(D484&lt;&gt;"",E484&lt;&gt;""),D484*E484+IF(ISBLANK(F484),0,F484),"")</f>
        <v/>
      </c>
    </row>
    <row r="485">
      <c r="G485">
        <f>IF(AND(D485&lt;&gt;"",E485&lt;&gt;""),D485*E485+IF(ISBLANK(F485),0,F485),"")</f>
        <v/>
      </c>
    </row>
    <row r="486">
      <c r="G486">
        <f>IF(AND(D486&lt;&gt;"",E486&lt;&gt;""),D486*E486+IF(ISBLANK(F486),0,F486),"")</f>
        <v/>
      </c>
    </row>
    <row r="487">
      <c r="G487">
        <f>IF(AND(D487&lt;&gt;"",E487&lt;&gt;""),D487*E487+IF(ISBLANK(F487),0,F487),"")</f>
        <v/>
      </c>
    </row>
    <row r="488">
      <c r="G488">
        <f>IF(AND(D488&lt;&gt;"",E488&lt;&gt;""),D488*E488+IF(ISBLANK(F488),0,F488),"")</f>
        <v/>
      </c>
    </row>
    <row r="489">
      <c r="G489">
        <f>IF(AND(D489&lt;&gt;"",E489&lt;&gt;""),D489*E489+IF(ISBLANK(F489),0,F489),"")</f>
        <v/>
      </c>
    </row>
    <row r="490">
      <c r="G490">
        <f>IF(AND(D490&lt;&gt;"",E490&lt;&gt;""),D490*E490+IF(ISBLANK(F490),0,F490),"")</f>
        <v/>
      </c>
    </row>
    <row r="491">
      <c r="G491">
        <f>IF(AND(D491&lt;&gt;"",E491&lt;&gt;""),D491*E491+IF(ISBLANK(F491),0,F491),"")</f>
        <v/>
      </c>
    </row>
    <row r="492">
      <c r="G492">
        <f>IF(AND(D492&lt;&gt;"",E492&lt;&gt;""),D492*E492+IF(ISBLANK(F492),0,F492),"")</f>
        <v/>
      </c>
    </row>
    <row r="493">
      <c r="G493">
        <f>IF(AND(D493&lt;&gt;"",E493&lt;&gt;""),D493*E493+IF(ISBLANK(F493),0,F493),"")</f>
        <v/>
      </c>
    </row>
    <row r="494">
      <c r="G494">
        <f>IF(AND(D494&lt;&gt;"",E494&lt;&gt;""),D494*E494+IF(ISBLANK(F494),0,F494),"")</f>
        <v/>
      </c>
    </row>
    <row r="495">
      <c r="G495">
        <f>IF(AND(D495&lt;&gt;"",E495&lt;&gt;""),D495*E495+IF(ISBLANK(F495),0,F495),"")</f>
        <v/>
      </c>
    </row>
    <row r="496">
      <c r="G496">
        <f>IF(AND(D496&lt;&gt;"",E496&lt;&gt;""),D496*E496+IF(ISBLANK(F496),0,F496),"")</f>
        <v/>
      </c>
    </row>
    <row r="497">
      <c r="G497">
        <f>IF(AND(D497&lt;&gt;"",E497&lt;&gt;""),D497*E497+IF(ISBLANK(F497),0,F497),"")</f>
        <v/>
      </c>
    </row>
    <row r="498">
      <c r="G498">
        <f>IF(AND(D498&lt;&gt;"",E498&lt;&gt;""),D498*E498+IF(ISBLANK(F498),0,F498),"")</f>
        <v/>
      </c>
    </row>
    <row r="499">
      <c r="G499">
        <f>IF(AND(D499&lt;&gt;"",E499&lt;&gt;""),D499*E499+IF(ISBLANK(F499),0,F499),"")</f>
        <v/>
      </c>
    </row>
    <row r="500">
      <c r="G500">
        <f>IF(AND(D500&lt;&gt;"",E500&lt;&gt;""),D500*E500+IF(ISBLANK(F500),0,F500),"")</f>
        <v/>
      </c>
    </row>
    <row r="501">
      <c r="G501">
        <f>IF(AND(D501&lt;&gt;"",E501&lt;&gt;""),D501*E501+IF(ISBLANK(F501),0,F501),"")</f>
        <v/>
      </c>
    </row>
    <row r="502">
      <c r="G502">
        <f>IF(AND(D502&lt;&gt;"",E502&lt;&gt;""),D502*E502+IF(ISBLANK(F502),0,F502),"")</f>
        <v/>
      </c>
    </row>
    <row r="503">
      <c r="G503">
        <f>IF(AND(D503&lt;&gt;"",E503&lt;&gt;""),D503*E503+IF(ISBLANK(F503),0,F503),"")</f>
        <v/>
      </c>
    </row>
    <row r="504">
      <c r="G504">
        <f>IF(AND(D504&lt;&gt;"",E504&lt;&gt;""),D504*E504+IF(ISBLANK(F504),0,F504),"")</f>
        <v/>
      </c>
    </row>
    <row r="505">
      <c r="G505">
        <f>IF(AND(D505&lt;&gt;"",E505&lt;&gt;""),D505*E505+IF(ISBLANK(F505),0,F505),"")</f>
        <v/>
      </c>
    </row>
    <row r="506">
      <c r="G506">
        <f>IF(AND(D506&lt;&gt;"",E506&lt;&gt;""),D506*E506+IF(ISBLANK(F506),0,F506),"")</f>
        <v/>
      </c>
    </row>
    <row r="507">
      <c r="G507">
        <f>IF(AND(D507&lt;&gt;"",E507&lt;&gt;""),D507*E507+IF(ISBLANK(F507),0,F507),"")</f>
        <v/>
      </c>
    </row>
    <row r="508">
      <c r="G508">
        <f>IF(AND(D508&lt;&gt;"",E508&lt;&gt;""),D508*E508+IF(ISBLANK(F508),0,F508),"")</f>
        <v/>
      </c>
    </row>
    <row r="509">
      <c r="G509">
        <f>IF(AND(D509&lt;&gt;"",E509&lt;&gt;""),D509*E509+IF(ISBLANK(F509),0,F509),"")</f>
        <v/>
      </c>
    </row>
    <row r="510">
      <c r="G510">
        <f>IF(AND(D510&lt;&gt;"",E510&lt;&gt;""),D510*E510+IF(ISBLANK(F510),0,F510),"")</f>
        <v/>
      </c>
    </row>
    <row r="511">
      <c r="G511">
        <f>IF(AND(D511&lt;&gt;"",E511&lt;&gt;""),D511*E511+IF(ISBLANK(F511),0,F511),"")</f>
        <v/>
      </c>
    </row>
    <row r="512">
      <c r="G512">
        <f>IF(AND(D512&lt;&gt;"",E512&lt;&gt;""),D512*E512+IF(ISBLANK(F512),0,F512),"")</f>
        <v/>
      </c>
    </row>
    <row r="513">
      <c r="G513">
        <f>IF(AND(D513&lt;&gt;"",E513&lt;&gt;""),D513*E513+IF(ISBLANK(F513),0,F513),"")</f>
        <v/>
      </c>
    </row>
    <row r="514">
      <c r="G514">
        <f>IF(AND(D514&lt;&gt;"",E514&lt;&gt;""),D514*E514+IF(ISBLANK(F514),0,F514),"")</f>
        <v/>
      </c>
    </row>
    <row r="515">
      <c r="G515">
        <f>IF(AND(D515&lt;&gt;"",E515&lt;&gt;""),D515*E515+IF(ISBLANK(F515),0,F515),"")</f>
        <v/>
      </c>
    </row>
    <row r="516">
      <c r="G516">
        <f>IF(AND(D516&lt;&gt;"",E516&lt;&gt;""),D516*E516+IF(ISBLANK(F516),0,F516),"")</f>
        <v/>
      </c>
    </row>
    <row r="517">
      <c r="G517">
        <f>IF(AND(D517&lt;&gt;"",E517&lt;&gt;""),D517*E517+IF(ISBLANK(F517),0,F517),"")</f>
        <v/>
      </c>
    </row>
    <row r="518">
      <c r="G518">
        <f>IF(AND(D518&lt;&gt;"",E518&lt;&gt;""),D518*E518+IF(ISBLANK(F518),0,F518),"")</f>
        <v/>
      </c>
    </row>
    <row r="519">
      <c r="G519">
        <f>IF(AND(D519&lt;&gt;"",E519&lt;&gt;""),D519*E519+IF(ISBLANK(F519),0,F519),"")</f>
        <v/>
      </c>
    </row>
    <row r="520">
      <c r="G520">
        <f>IF(AND(D520&lt;&gt;"",E520&lt;&gt;""),D520*E520+IF(ISBLANK(F520),0,F520),"")</f>
        <v/>
      </c>
    </row>
    <row r="521">
      <c r="G521">
        <f>IF(AND(D521&lt;&gt;"",E521&lt;&gt;""),D521*E521+IF(ISBLANK(F521),0,F521),"")</f>
        <v/>
      </c>
    </row>
    <row r="522">
      <c r="G522">
        <f>IF(AND(D522&lt;&gt;"",E522&lt;&gt;""),D522*E522+IF(ISBLANK(F522),0,F522),"")</f>
        <v/>
      </c>
    </row>
    <row r="523">
      <c r="G523">
        <f>IF(AND(D523&lt;&gt;"",E523&lt;&gt;""),D523*E523+IF(ISBLANK(F523),0,F523),"")</f>
        <v/>
      </c>
    </row>
    <row r="524">
      <c r="G524">
        <f>IF(AND(D524&lt;&gt;"",E524&lt;&gt;""),D524*E524+IF(ISBLANK(F524),0,F524),"")</f>
        <v/>
      </c>
    </row>
    <row r="525">
      <c r="G525">
        <f>IF(AND(D525&lt;&gt;"",E525&lt;&gt;""),D525*E525+IF(ISBLANK(F525),0,F525),"")</f>
        <v/>
      </c>
    </row>
    <row r="526">
      <c r="G526">
        <f>IF(AND(D526&lt;&gt;"",E526&lt;&gt;""),D526*E526+IF(ISBLANK(F526),0,F526),"")</f>
        <v/>
      </c>
    </row>
    <row r="527">
      <c r="G527">
        <f>IF(AND(D527&lt;&gt;"",E527&lt;&gt;""),D527*E527+IF(ISBLANK(F527),0,F527),"")</f>
        <v/>
      </c>
    </row>
    <row r="528">
      <c r="G528">
        <f>IF(AND(D528&lt;&gt;"",E528&lt;&gt;""),D528*E528+IF(ISBLANK(F528),0,F528),"")</f>
        <v/>
      </c>
    </row>
    <row r="529">
      <c r="G529">
        <f>IF(AND(D529&lt;&gt;"",E529&lt;&gt;""),D529*E529+IF(ISBLANK(F529),0,F529),"")</f>
        <v/>
      </c>
    </row>
    <row r="530">
      <c r="G530">
        <f>IF(AND(D530&lt;&gt;"",E530&lt;&gt;""),D530*E530+IF(ISBLANK(F530),0,F530),"")</f>
        <v/>
      </c>
    </row>
    <row r="531">
      <c r="G531">
        <f>IF(AND(D531&lt;&gt;"",E531&lt;&gt;""),D531*E531+IF(ISBLANK(F531),0,F531),"")</f>
        <v/>
      </c>
    </row>
    <row r="532">
      <c r="G532">
        <f>IF(AND(D532&lt;&gt;"",E532&lt;&gt;""),D532*E532+IF(ISBLANK(F532),0,F532),"")</f>
        <v/>
      </c>
    </row>
    <row r="533">
      <c r="G533">
        <f>IF(AND(D533&lt;&gt;"",E533&lt;&gt;""),D533*E533+IF(ISBLANK(F533),0,F533),"")</f>
        <v/>
      </c>
    </row>
    <row r="534">
      <c r="G534">
        <f>IF(AND(D534&lt;&gt;"",E534&lt;&gt;""),D534*E534+IF(ISBLANK(F534),0,F534),"")</f>
        <v/>
      </c>
    </row>
    <row r="535">
      <c r="G535">
        <f>IF(AND(D535&lt;&gt;"",E535&lt;&gt;""),D535*E535+IF(ISBLANK(F535),0,F535),"")</f>
        <v/>
      </c>
    </row>
    <row r="536">
      <c r="G536">
        <f>IF(AND(D536&lt;&gt;"",E536&lt;&gt;""),D536*E536+IF(ISBLANK(F536),0,F536),"")</f>
        <v/>
      </c>
    </row>
    <row r="537">
      <c r="G537">
        <f>IF(AND(D537&lt;&gt;"",E537&lt;&gt;""),D537*E537+IF(ISBLANK(F537),0,F537),"")</f>
        <v/>
      </c>
    </row>
    <row r="538">
      <c r="G538">
        <f>IF(AND(D538&lt;&gt;"",E538&lt;&gt;""),D538*E538+IF(ISBLANK(F538),0,F538),"")</f>
        <v/>
      </c>
    </row>
    <row r="539">
      <c r="G539">
        <f>IF(AND(D539&lt;&gt;"",E539&lt;&gt;""),D539*E539+IF(ISBLANK(F539),0,F539),"")</f>
        <v/>
      </c>
    </row>
    <row r="540">
      <c r="G540">
        <f>IF(AND(D540&lt;&gt;"",E540&lt;&gt;""),D540*E540+IF(ISBLANK(F540),0,F540),"")</f>
        <v/>
      </c>
    </row>
    <row r="541">
      <c r="G541">
        <f>IF(AND(D541&lt;&gt;"",E541&lt;&gt;""),D541*E541+IF(ISBLANK(F541),0,F541),"")</f>
        <v/>
      </c>
    </row>
    <row r="542">
      <c r="G542">
        <f>IF(AND(D542&lt;&gt;"",E542&lt;&gt;""),D542*E542+IF(ISBLANK(F542),0,F542),"")</f>
        <v/>
      </c>
    </row>
    <row r="543">
      <c r="G543">
        <f>IF(AND(D543&lt;&gt;"",E543&lt;&gt;""),D543*E543+IF(ISBLANK(F543),0,F543),"")</f>
        <v/>
      </c>
    </row>
    <row r="544">
      <c r="G544">
        <f>IF(AND(D544&lt;&gt;"",E544&lt;&gt;""),D544*E544+IF(ISBLANK(F544),0,F544),"")</f>
        <v/>
      </c>
    </row>
    <row r="545">
      <c r="G545">
        <f>IF(AND(D545&lt;&gt;"",E545&lt;&gt;""),D545*E545+IF(ISBLANK(F545),0,F545),"")</f>
        <v/>
      </c>
    </row>
    <row r="546">
      <c r="G546">
        <f>IF(AND(D546&lt;&gt;"",E546&lt;&gt;""),D546*E546+IF(ISBLANK(F546),0,F546),"")</f>
        <v/>
      </c>
    </row>
    <row r="547">
      <c r="G547">
        <f>IF(AND(D547&lt;&gt;"",E547&lt;&gt;""),D547*E547+IF(ISBLANK(F547),0,F547),"")</f>
        <v/>
      </c>
    </row>
    <row r="548">
      <c r="G548">
        <f>IF(AND(D548&lt;&gt;"",E548&lt;&gt;""),D548*E548+IF(ISBLANK(F548),0,F548),"")</f>
        <v/>
      </c>
    </row>
    <row r="549">
      <c r="G549">
        <f>IF(AND(D549&lt;&gt;"",E549&lt;&gt;""),D549*E549+IF(ISBLANK(F549),0,F549),"")</f>
        <v/>
      </c>
    </row>
    <row r="550">
      <c r="G550">
        <f>IF(AND(D550&lt;&gt;"",E550&lt;&gt;""),D550*E550+IF(ISBLANK(F550),0,F550),"")</f>
        <v/>
      </c>
    </row>
    <row r="551">
      <c r="G551">
        <f>IF(AND(D551&lt;&gt;"",E551&lt;&gt;""),D551*E551+IF(ISBLANK(F551),0,F551),"")</f>
        <v/>
      </c>
    </row>
    <row r="552">
      <c r="G552">
        <f>IF(AND(D552&lt;&gt;"",E552&lt;&gt;""),D552*E552+IF(ISBLANK(F552),0,F552),"")</f>
        <v/>
      </c>
    </row>
    <row r="553">
      <c r="G553">
        <f>IF(AND(D553&lt;&gt;"",E553&lt;&gt;""),D553*E553+IF(ISBLANK(F553),0,F553),"")</f>
        <v/>
      </c>
    </row>
    <row r="554">
      <c r="G554">
        <f>IF(AND(D554&lt;&gt;"",E554&lt;&gt;""),D554*E554+IF(ISBLANK(F554),0,F554),"")</f>
        <v/>
      </c>
    </row>
    <row r="555">
      <c r="G555">
        <f>IF(AND(D555&lt;&gt;"",E555&lt;&gt;""),D555*E555+IF(ISBLANK(F555),0,F555),"")</f>
        <v/>
      </c>
    </row>
    <row r="556">
      <c r="G556">
        <f>IF(AND(D556&lt;&gt;"",E556&lt;&gt;""),D556*E556+IF(ISBLANK(F556),0,F556),"")</f>
        <v/>
      </c>
    </row>
    <row r="557">
      <c r="G557">
        <f>IF(AND(D557&lt;&gt;"",E557&lt;&gt;""),D557*E557+IF(ISBLANK(F557),0,F557),"")</f>
        <v/>
      </c>
    </row>
    <row r="558">
      <c r="G558">
        <f>IF(AND(D558&lt;&gt;"",E558&lt;&gt;""),D558*E558+IF(ISBLANK(F558),0,F558),"")</f>
        <v/>
      </c>
    </row>
    <row r="559">
      <c r="G559">
        <f>IF(AND(D559&lt;&gt;"",E559&lt;&gt;""),D559*E559+IF(ISBLANK(F559),0,F559),"")</f>
        <v/>
      </c>
    </row>
    <row r="560">
      <c r="G560">
        <f>IF(AND(D560&lt;&gt;"",E560&lt;&gt;""),D560*E560+IF(ISBLANK(F560),0,F560),"")</f>
        <v/>
      </c>
    </row>
    <row r="561">
      <c r="G561">
        <f>IF(AND(D561&lt;&gt;"",E561&lt;&gt;""),D561*E561+IF(ISBLANK(F561),0,F561),"")</f>
        <v/>
      </c>
    </row>
    <row r="562">
      <c r="G562">
        <f>IF(AND(D562&lt;&gt;"",E562&lt;&gt;""),D562*E562+IF(ISBLANK(F562),0,F562),"")</f>
        <v/>
      </c>
    </row>
    <row r="563">
      <c r="G563">
        <f>IF(AND(D563&lt;&gt;"",E563&lt;&gt;""),D563*E563+IF(ISBLANK(F563),0,F563),"")</f>
        <v/>
      </c>
    </row>
    <row r="564">
      <c r="G564">
        <f>IF(AND(D564&lt;&gt;"",E564&lt;&gt;""),D564*E564+IF(ISBLANK(F564),0,F564),"")</f>
        <v/>
      </c>
    </row>
    <row r="565">
      <c r="G565">
        <f>IF(AND(D565&lt;&gt;"",E565&lt;&gt;""),D565*E565+IF(ISBLANK(F565),0,F565),"")</f>
        <v/>
      </c>
    </row>
    <row r="566">
      <c r="G566">
        <f>IF(AND(D566&lt;&gt;"",E566&lt;&gt;""),D566*E566+IF(ISBLANK(F566),0,F566),"")</f>
        <v/>
      </c>
    </row>
    <row r="567">
      <c r="G567">
        <f>IF(AND(D567&lt;&gt;"",E567&lt;&gt;""),D567*E567+IF(ISBLANK(F567),0,F567),"")</f>
        <v/>
      </c>
    </row>
    <row r="568">
      <c r="G568">
        <f>IF(AND(D568&lt;&gt;"",E568&lt;&gt;""),D568*E568+IF(ISBLANK(F568),0,F568),"")</f>
        <v/>
      </c>
    </row>
    <row r="569">
      <c r="G569">
        <f>IF(AND(D569&lt;&gt;"",E569&lt;&gt;""),D569*E569+IF(ISBLANK(F569),0,F569),"")</f>
        <v/>
      </c>
    </row>
    <row r="570">
      <c r="G570">
        <f>IF(AND(D570&lt;&gt;"",E570&lt;&gt;""),D570*E570+IF(ISBLANK(F570),0,F570),"")</f>
        <v/>
      </c>
    </row>
    <row r="571">
      <c r="G571">
        <f>IF(AND(D571&lt;&gt;"",E571&lt;&gt;""),D571*E571+IF(ISBLANK(F571),0,F571),"")</f>
        <v/>
      </c>
    </row>
    <row r="572">
      <c r="G572">
        <f>IF(AND(D572&lt;&gt;"",E572&lt;&gt;""),D572*E572+IF(ISBLANK(F572),0,F572),"")</f>
        <v/>
      </c>
    </row>
    <row r="573">
      <c r="G573">
        <f>IF(AND(D573&lt;&gt;"",E573&lt;&gt;""),D573*E573+IF(ISBLANK(F573),0,F573),"")</f>
        <v/>
      </c>
    </row>
    <row r="574">
      <c r="G574">
        <f>IF(AND(D574&lt;&gt;"",E574&lt;&gt;""),D574*E574+IF(ISBLANK(F574),0,F574),"")</f>
        <v/>
      </c>
    </row>
    <row r="575">
      <c r="G575">
        <f>IF(AND(D575&lt;&gt;"",E575&lt;&gt;""),D575*E575+IF(ISBLANK(F575),0,F575),"")</f>
        <v/>
      </c>
    </row>
    <row r="576">
      <c r="G576">
        <f>IF(AND(D576&lt;&gt;"",E576&lt;&gt;""),D576*E576+IF(ISBLANK(F576),0,F576),"")</f>
        <v/>
      </c>
    </row>
    <row r="577">
      <c r="G577">
        <f>IF(AND(D577&lt;&gt;"",E577&lt;&gt;""),D577*E577+IF(ISBLANK(F577),0,F577),"")</f>
        <v/>
      </c>
    </row>
    <row r="578">
      <c r="G578">
        <f>IF(AND(D578&lt;&gt;"",E578&lt;&gt;""),D578*E578+IF(ISBLANK(F578),0,F578),"")</f>
        <v/>
      </c>
    </row>
    <row r="579">
      <c r="G579">
        <f>IF(AND(D579&lt;&gt;"",E579&lt;&gt;""),D579*E579+IF(ISBLANK(F579),0,F579),"")</f>
        <v/>
      </c>
    </row>
    <row r="580">
      <c r="G580">
        <f>IF(AND(D580&lt;&gt;"",E580&lt;&gt;""),D580*E580+IF(ISBLANK(F580),0,F580),"")</f>
        <v/>
      </c>
    </row>
    <row r="581">
      <c r="G581">
        <f>IF(AND(D581&lt;&gt;"",E581&lt;&gt;""),D581*E581+IF(ISBLANK(F581),0,F581),"")</f>
        <v/>
      </c>
    </row>
    <row r="582">
      <c r="G582">
        <f>IF(AND(D582&lt;&gt;"",E582&lt;&gt;""),D582*E582+IF(ISBLANK(F582),0,F582),"")</f>
        <v/>
      </c>
    </row>
    <row r="583">
      <c r="G583">
        <f>IF(AND(D583&lt;&gt;"",E583&lt;&gt;""),D583*E583+IF(ISBLANK(F583),0,F583),"")</f>
        <v/>
      </c>
    </row>
    <row r="584">
      <c r="G584">
        <f>IF(AND(D584&lt;&gt;"",E584&lt;&gt;""),D584*E584+IF(ISBLANK(F584),0,F584),"")</f>
        <v/>
      </c>
    </row>
    <row r="585">
      <c r="G585">
        <f>IF(AND(D585&lt;&gt;"",E585&lt;&gt;""),D585*E585+IF(ISBLANK(F585),0,F585),"")</f>
        <v/>
      </c>
    </row>
    <row r="586">
      <c r="G586">
        <f>IF(AND(D586&lt;&gt;"",E586&lt;&gt;""),D586*E586+IF(ISBLANK(F586),0,F586),"")</f>
        <v/>
      </c>
    </row>
    <row r="587">
      <c r="G587">
        <f>IF(AND(D587&lt;&gt;"",E587&lt;&gt;""),D587*E587+IF(ISBLANK(F587),0,F587),"")</f>
        <v/>
      </c>
    </row>
    <row r="588">
      <c r="G588">
        <f>IF(AND(D588&lt;&gt;"",E588&lt;&gt;""),D588*E588+IF(ISBLANK(F588),0,F588),"")</f>
        <v/>
      </c>
    </row>
    <row r="589">
      <c r="G589">
        <f>IF(AND(D589&lt;&gt;"",E589&lt;&gt;""),D589*E589+IF(ISBLANK(F589),0,F589),"")</f>
        <v/>
      </c>
    </row>
    <row r="590">
      <c r="G590">
        <f>IF(AND(D590&lt;&gt;"",E590&lt;&gt;""),D590*E590+IF(ISBLANK(F590),0,F590),"")</f>
        <v/>
      </c>
    </row>
    <row r="591">
      <c r="G591">
        <f>IF(AND(D591&lt;&gt;"",E591&lt;&gt;""),D591*E591+IF(ISBLANK(F591),0,F591),"")</f>
        <v/>
      </c>
    </row>
    <row r="592">
      <c r="G592">
        <f>IF(AND(D592&lt;&gt;"",E592&lt;&gt;""),D592*E592+IF(ISBLANK(F592),0,F592),"")</f>
        <v/>
      </c>
    </row>
    <row r="593">
      <c r="G593">
        <f>IF(AND(D593&lt;&gt;"",E593&lt;&gt;""),D593*E593+IF(ISBLANK(F593),0,F593),"")</f>
        <v/>
      </c>
    </row>
    <row r="594">
      <c r="G594">
        <f>IF(AND(D594&lt;&gt;"",E594&lt;&gt;""),D594*E594+IF(ISBLANK(F594),0,F594),"")</f>
        <v/>
      </c>
    </row>
    <row r="595">
      <c r="G595">
        <f>IF(AND(D595&lt;&gt;"",E595&lt;&gt;""),D595*E595+IF(ISBLANK(F595),0,F595),"")</f>
        <v/>
      </c>
    </row>
    <row r="596">
      <c r="G596">
        <f>IF(AND(D596&lt;&gt;"",E596&lt;&gt;""),D596*E596+IF(ISBLANK(F596),0,F596),"")</f>
        <v/>
      </c>
    </row>
    <row r="597">
      <c r="G597">
        <f>IF(AND(D597&lt;&gt;"",E597&lt;&gt;""),D597*E597+IF(ISBLANK(F597),0,F597),"")</f>
        <v/>
      </c>
    </row>
    <row r="598">
      <c r="G598">
        <f>IF(AND(D598&lt;&gt;"",E598&lt;&gt;""),D598*E598+IF(ISBLANK(F598),0,F598),"")</f>
        <v/>
      </c>
    </row>
    <row r="599">
      <c r="G599">
        <f>IF(AND(D599&lt;&gt;"",E599&lt;&gt;""),D599*E599+IF(ISBLANK(F599),0,F599),"")</f>
        <v/>
      </c>
    </row>
    <row r="600">
      <c r="G600">
        <f>IF(AND(D600&lt;&gt;"",E600&lt;&gt;""),D600*E600+IF(ISBLANK(F600),0,F600),"")</f>
        <v/>
      </c>
    </row>
    <row r="601">
      <c r="G601">
        <f>IF(AND(D601&lt;&gt;"",E601&lt;&gt;""),D601*E601+IF(ISBLANK(F601),0,F601),"")</f>
        <v/>
      </c>
    </row>
    <row r="602">
      <c r="G602">
        <f>IF(AND(D602&lt;&gt;"",E602&lt;&gt;""),D602*E602+IF(ISBLANK(F602),0,F602),"")</f>
        <v/>
      </c>
    </row>
    <row r="603">
      <c r="G603">
        <f>IF(AND(D603&lt;&gt;"",E603&lt;&gt;""),D603*E603+IF(ISBLANK(F603),0,F603),"")</f>
        <v/>
      </c>
    </row>
    <row r="604">
      <c r="G604">
        <f>IF(AND(D604&lt;&gt;"",E604&lt;&gt;""),D604*E604+IF(ISBLANK(F604),0,F604),"")</f>
        <v/>
      </c>
    </row>
    <row r="605">
      <c r="G605">
        <f>IF(AND(D605&lt;&gt;"",E605&lt;&gt;""),D605*E605+IF(ISBLANK(F605),0,F605),"")</f>
        <v/>
      </c>
    </row>
    <row r="606">
      <c r="G606">
        <f>IF(AND(D606&lt;&gt;"",E606&lt;&gt;""),D606*E606+IF(ISBLANK(F606),0,F606),"")</f>
        <v/>
      </c>
    </row>
    <row r="607">
      <c r="G607">
        <f>IF(AND(D607&lt;&gt;"",E607&lt;&gt;""),D607*E607+IF(ISBLANK(F607),0,F607),"")</f>
        <v/>
      </c>
    </row>
    <row r="608">
      <c r="G608">
        <f>IF(AND(D608&lt;&gt;"",E608&lt;&gt;""),D608*E608+IF(ISBLANK(F608),0,F608),"")</f>
        <v/>
      </c>
    </row>
    <row r="609">
      <c r="G609">
        <f>IF(AND(D609&lt;&gt;"",E609&lt;&gt;""),D609*E609+IF(ISBLANK(F609),0,F609),"")</f>
        <v/>
      </c>
    </row>
    <row r="610">
      <c r="G610">
        <f>IF(AND(D610&lt;&gt;"",E610&lt;&gt;""),D610*E610+IF(ISBLANK(F610),0,F610),"")</f>
        <v/>
      </c>
    </row>
    <row r="611">
      <c r="G611">
        <f>IF(AND(D611&lt;&gt;"",E611&lt;&gt;""),D611*E611+IF(ISBLANK(F611),0,F611),"")</f>
        <v/>
      </c>
    </row>
    <row r="612">
      <c r="G612">
        <f>IF(AND(D612&lt;&gt;"",E612&lt;&gt;""),D612*E612+IF(ISBLANK(F612),0,F612),"")</f>
        <v/>
      </c>
    </row>
    <row r="613">
      <c r="G613">
        <f>IF(AND(D613&lt;&gt;"",E613&lt;&gt;""),D613*E613+IF(ISBLANK(F613),0,F613),"")</f>
        <v/>
      </c>
    </row>
    <row r="614">
      <c r="G614">
        <f>IF(AND(D614&lt;&gt;"",E614&lt;&gt;""),D614*E614+IF(ISBLANK(F614),0,F614),"")</f>
        <v/>
      </c>
    </row>
    <row r="615">
      <c r="G615">
        <f>IF(AND(D615&lt;&gt;"",E615&lt;&gt;""),D615*E615+IF(ISBLANK(F615),0,F615),"")</f>
        <v/>
      </c>
    </row>
    <row r="616">
      <c r="G616">
        <f>IF(AND(D616&lt;&gt;"",E616&lt;&gt;""),D616*E616+IF(ISBLANK(F616),0,F616),"")</f>
        <v/>
      </c>
    </row>
    <row r="617">
      <c r="G617">
        <f>IF(AND(D617&lt;&gt;"",E617&lt;&gt;""),D617*E617+IF(ISBLANK(F617),0,F617),"")</f>
        <v/>
      </c>
    </row>
    <row r="618">
      <c r="G618">
        <f>IF(AND(D618&lt;&gt;"",E618&lt;&gt;""),D618*E618+IF(ISBLANK(F618),0,F618),"")</f>
        <v/>
      </c>
    </row>
    <row r="619">
      <c r="G619">
        <f>IF(AND(D619&lt;&gt;"",E619&lt;&gt;""),D619*E619+IF(ISBLANK(F619),0,F619),"")</f>
        <v/>
      </c>
    </row>
    <row r="620">
      <c r="G620">
        <f>IF(AND(D620&lt;&gt;"",E620&lt;&gt;""),D620*E620+IF(ISBLANK(F620),0,F620),"")</f>
        <v/>
      </c>
    </row>
    <row r="621">
      <c r="G621">
        <f>IF(AND(D621&lt;&gt;"",E621&lt;&gt;""),D621*E621+IF(ISBLANK(F621),0,F621),"")</f>
        <v/>
      </c>
    </row>
    <row r="622">
      <c r="G622">
        <f>IF(AND(D622&lt;&gt;"",E622&lt;&gt;""),D622*E622+IF(ISBLANK(F622),0,F622),"")</f>
        <v/>
      </c>
    </row>
    <row r="623">
      <c r="G623">
        <f>IF(AND(D623&lt;&gt;"",E623&lt;&gt;""),D623*E623+IF(ISBLANK(F623),0,F623),"")</f>
        <v/>
      </c>
    </row>
    <row r="624">
      <c r="G624">
        <f>IF(AND(D624&lt;&gt;"",E624&lt;&gt;""),D624*E624+IF(ISBLANK(F624),0,F624),"")</f>
        <v/>
      </c>
    </row>
    <row r="625">
      <c r="G625">
        <f>IF(AND(D625&lt;&gt;"",E625&lt;&gt;""),D625*E625+IF(ISBLANK(F625),0,F625),"")</f>
        <v/>
      </c>
    </row>
    <row r="626">
      <c r="G626">
        <f>IF(AND(D626&lt;&gt;"",E626&lt;&gt;""),D626*E626+IF(ISBLANK(F626),0,F626),"")</f>
        <v/>
      </c>
    </row>
    <row r="627">
      <c r="G627">
        <f>IF(AND(D627&lt;&gt;"",E627&lt;&gt;""),D627*E627+IF(ISBLANK(F627),0,F627),"")</f>
        <v/>
      </c>
    </row>
    <row r="628">
      <c r="G628">
        <f>IF(AND(D628&lt;&gt;"",E628&lt;&gt;""),D628*E628+IF(ISBLANK(F628),0,F628),"")</f>
        <v/>
      </c>
    </row>
    <row r="629">
      <c r="G629">
        <f>IF(AND(D629&lt;&gt;"",E629&lt;&gt;""),D629*E629+IF(ISBLANK(F629),0,F629),"")</f>
        <v/>
      </c>
    </row>
    <row r="630">
      <c r="G630">
        <f>IF(AND(D630&lt;&gt;"",E630&lt;&gt;""),D630*E630+IF(ISBLANK(F630),0,F630),"")</f>
        <v/>
      </c>
    </row>
    <row r="631">
      <c r="G631">
        <f>IF(AND(D631&lt;&gt;"",E631&lt;&gt;""),D631*E631+IF(ISBLANK(F631),0,F631),"")</f>
        <v/>
      </c>
    </row>
    <row r="632">
      <c r="G632">
        <f>IF(AND(D632&lt;&gt;"",E632&lt;&gt;""),D632*E632+IF(ISBLANK(F632),0,F632),"")</f>
        <v/>
      </c>
    </row>
    <row r="633">
      <c r="G633">
        <f>IF(AND(D633&lt;&gt;"",E633&lt;&gt;""),D633*E633+IF(ISBLANK(F633),0,F633),"")</f>
        <v/>
      </c>
    </row>
    <row r="634">
      <c r="G634">
        <f>IF(AND(D634&lt;&gt;"",E634&lt;&gt;""),D634*E634+IF(ISBLANK(F634),0,F634),"")</f>
        <v/>
      </c>
    </row>
    <row r="635">
      <c r="G635">
        <f>IF(AND(D635&lt;&gt;"",E635&lt;&gt;""),D635*E635+IF(ISBLANK(F635),0,F635),"")</f>
        <v/>
      </c>
    </row>
    <row r="636">
      <c r="G636">
        <f>IF(AND(D636&lt;&gt;"",E636&lt;&gt;""),D636*E636+IF(ISBLANK(F636),0,F636),"")</f>
        <v/>
      </c>
    </row>
    <row r="637">
      <c r="G637">
        <f>IF(AND(D637&lt;&gt;"",E637&lt;&gt;""),D637*E637+IF(ISBLANK(F637),0,F637),"")</f>
        <v/>
      </c>
    </row>
    <row r="638">
      <c r="G638">
        <f>IF(AND(D638&lt;&gt;"",E638&lt;&gt;""),D638*E638+IF(ISBLANK(F638),0,F638),"")</f>
        <v/>
      </c>
    </row>
    <row r="639">
      <c r="G639">
        <f>IF(AND(D639&lt;&gt;"",E639&lt;&gt;""),D639*E639+IF(ISBLANK(F639),0,F639),"")</f>
        <v/>
      </c>
    </row>
    <row r="640">
      <c r="G640">
        <f>IF(AND(D640&lt;&gt;"",E640&lt;&gt;""),D640*E640+IF(ISBLANK(F640),0,F640),"")</f>
        <v/>
      </c>
    </row>
    <row r="641">
      <c r="G641">
        <f>IF(AND(D641&lt;&gt;"",E641&lt;&gt;""),D641*E641+IF(ISBLANK(F641),0,F641),"")</f>
        <v/>
      </c>
    </row>
    <row r="642">
      <c r="G642">
        <f>IF(AND(D642&lt;&gt;"",E642&lt;&gt;""),D642*E642+IF(ISBLANK(F642),0,F642),"")</f>
        <v/>
      </c>
    </row>
    <row r="643">
      <c r="G643">
        <f>IF(AND(D643&lt;&gt;"",E643&lt;&gt;""),D643*E643+IF(ISBLANK(F643),0,F643),"")</f>
        <v/>
      </c>
    </row>
    <row r="644">
      <c r="G644">
        <f>IF(AND(D644&lt;&gt;"",E644&lt;&gt;""),D644*E644+IF(ISBLANK(F644),0,F644),"")</f>
        <v/>
      </c>
    </row>
    <row r="645">
      <c r="G645">
        <f>IF(AND(D645&lt;&gt;"",E645&lt;&gt;""),D645*E645+IF(ISBLANK(F645),0,F645),"")</f>
        <v/>
      </c>
    </row>
    <row r="646">
      <c r="G646">
        <f>IF(AND(D646&lt;&gt;"",E646&lt;&gt;""),D646*E646+IF(ISBLANK(F646),0,F646),"")</f>
        <v/>
      </c>
    </row>
    <row r="647">
      <c r="G647">
        <f>IF(AND(D647&lt;&gt;"",E647&lt;&gt;""),D647*E647+IF(ISBLANK(F647),0,F647),"")</f>
        <v/>
      </c>
    </row>
    <row r="648">
      <c r="G648">
        <f>IF(AND(D648&lt;&gt;"",E648&lt;&gt;""),D648*E648+IF(ISBLANK(F648),0,F648),"")</f>
        <v/>
      </c>
    </row>
    <row r="649">
      <c r="G649">
        <f>IF(AND(D649&lt;&gt;"",E649&lt;&gt;""),D649*E649+IF(ISBLANK(F649),0,F649),"")</f>
        <v/>
      </c>
    </row>
    <row r="650">
      <c r="G650">
        <f>IF(AND(D650&lt;&gt;"",E650&lt;&gt;""),D650*E650+IF(ISBLANK(F650),0,F650),"")</f>
        <v/>
      </c>
    </row>
    <row r="651">
      <c r="G651">
        <f>IF(AND(D651&lt;&gt;"",E651&lt;&gt;""),D651*E651+IF(ISBLANK(F651),0,F651),"")</f>
        <v/>
      </c>
    </row>
    <row r="652">
      <c r="G652">
        <f>IF(AND(D652&lt;&gt;"",E652&lt;&gt;""),D652*E652+IF(ISBLANK(F652),0,F652),"")</f>
        <v/>
      </c>
    </row>
    <row r="653">
      <c r="G653">
        <f>IF(AND(D653&lt;&gt;"",E653&lt;&gt;""),D653*E653+IF(ISBLANK(F653),0,F653),"")</f>
        <v/>
      </c>
    </row>
    <row r="654">
      <c r="G654">
        <f>IF(AND(D654&lt;&gt;"",E654&lt;&gt;""),D654*E654+IF(ISBLANK(F654),0,F654),"")</f>
        <v/>
      </c>
    </row>
    <row r="655">
      <c r="G655">
        <f>IF(AND(D655&lt;&gt;"",E655&lt;&gt;""),D655*E655+IF(ISBLANK(F655),0,F655),"")</f>
        <v/>
      </c>
    </row>
    <row r="656">
      <c r="G656">
        <f>IF(AND(D656&lt;&gt;"",E656&lt;&gt;""),D656*E656+IF(ISBLANK(F656),0,F656),"")</f>
        <v/>
      </c>
    </row>
    <row r="657">
      <c r="G657">
        <f>IF(AND(D657&lt;&gt;"",E657&lt;&gt;""),D657*E657+IF(ISBLANK(F657),0,F657),"")</f>
        <v/>
      </c>
    </row>
    <row r="658">
      <c r="G658">
        <f>IF(AND(D658&lt;&gt;"",E658&lt;&gt;""),D658*E658+IF(ISBLANK(F658),0,F658),"")</f>
        <v/>
      </c>
    </row>
    <row r="659">
      <c r="G659">
        <f>IF(AND(D659&lt;&gt;"",E659&lt;&gt;""),D659*E659+IF(ISBLANK(F659),0,F659),"")</f>
        <v/>
      </c>
    </row>
    <row r="660">
      <c r="G660">
        <f>IF(AND(D660&lt;&gt;"",E660&lt;&gt;""),D660*E660+IF(ISBLANK(F660),0,F660),"")</f>
        <v/>
      </c>
    </row>
    <row r="661">
      <c r="G661">
        <f>IF(AND(D661&lt;&gt;"",E661&lt;&gt;""),D661*E661+IF(ISBLANK(F661),0,F661),"")</f>
        <v/>
      </c>
    </row>
    <row r="662">
      <c r="G662">
        <f>IF(AND(D662&lt;&gt;"",E662&lt;&gt;""),D662*E662+IF(ISBLANK(F662),0,F662),"")</f>
        <v/>
      </c>
    </row>
    <row r="663">
      <c r="G663">
        <f>IF(AND(D663&lt;&gt;"",E663&lt;&gt;""),D663*E663+IF(ISBLANK(F663),0,F663),"")</f>
        <v/>
      </c>
    </row>
    <row r="664">
      <c r="G664">
        <f>IF(AND(D664&lt;&gt;"",E664&lt;&gt;""),D664*E664+IF(ISBLANK(F664),0,F664),"")</f>
        <v/>
      </c>
    </row>
    <row r="665">
      <c r="G665">
        <f>IF(AND(D665&lt;&gt;"",E665&lt;&gt;""),D665*E665+IF(ISBLANK(F665),0,F665),"")</f>
        <v/>
      </c>
    </row>
    <row r="666">
      <c r="G666">
        <f>IF(AND(D666&lt;&gt;"",E666&lt;&gt;""),D666*E666+IF(ISBLANK(F666),0,F666),"")</f>
        <v/>
      </c>
    </row>
    <row r="667">
      <c r="G667">
        <f>IF(AND(D667&lt;&gt;"",E667&lt;&gt;""),D667*E667+IF(ISBLANK(F667),0,F667),"")</f>
        <v/>
      </c>
    </row>
    <row r="668">
      <c r="G668">
        <f>IF(AND(D668&lt;&gt;"",E668&lt;&gt;""),D668*E668+IF(ISBLANK(F668),0,F668),"")</f>
        <v/>
      </c>
    </row>
    <row r="669">
      <c r="G669">
        <f>IF(AND(D669&lt;&gt;"",E669&lt;&gt;""),D669*E669+IF(ISBLANK(F669),0,F669),"")</f>
        <v/>
      </c>
    </row>
    <row r="670">
      <c r="G670">
        <f>IF(AND(D670&lt;&gt;"",E670&lt;&gt;""),D670*E670+IF(ISBLANK(F670),0,F670),"")</f>
        <v/>
      </c>
    </row>
    <row r="671">
      <c r="G671">
        <f>IF(AND(D671&lt;&gt;"",E671&lt;&gt;""),D671*E671+IF(ISBLANK(F671),0,F671),"")</f>
        <v/>
      </c>
    </row>
    <row r="672">
      <c r="G672">
        <f>IF(AND(D672&lt;&gt;"",E672&lt;&gt;""),D672*E672+IF(ISBLANK(F672),0,F672),"")</f>
        <v/>
      </c>
    </row>
    <row r="673">
      <c r="G673">
        <f>IF(AND(D673&lt;&gt;"",E673&lt;&gt;""),D673*E673+IF(ISBLANK(F673),0,F673),"")</f>
        <v/>
      </c>
    </row>
    <row r="674">
      <c r="G674">
        <f>IF(AND(D674&lt;&gt;"",E674&lt;&gt;""),D674*E674+IF(ISBLANK(F674),0,F674),"")</f>
        <v/>
      </c>
    </row>
    <row r="675">
      <c r="G675">
        <f>IF(AND(D675&lt;&gt;"",E675&lt;&gt;""),D675*E675+IF(ISBLANK(F675),0,F675),"")</f>
        <v/>
      </c>
    </row>
    <row r="676">
      <c r="G676">
        <f>IF(AND(D676&lt;&gt;"",E676&lt;&gt;""),D676*E676+IF(ISBLANK(F676),0,F676),"")</f>
        <v/>
      </c>
    </row>
    <row r="677">
      <c r="G677">
        <f>IF(AND(D677&lt;&gt;"",E677&lt;&gt;""),D677*E677+IF(ISBLANK(F677),0,F677),"")</f>
        <v/>
      </c>
    </row>
    <row r="678">
      <c r="G678">
        <f>IF(AND(D678&lt;&gt;"",E678&lt;&gt;""),D678*E678+IF(ISBLANK(F678),0,F678),"")</f>
        <v/>
      </c>
    </row>
    <row r="679">
      <c r="G679">
        <f>IF(AND(D679&lt;&gt;"",E679&lt;&gt;""),D679*E679+IF(ISBLANK(F679),0,F679),"")</f>
        <v/>
      </c>
    </row>
    <row r="680">
      <c r="G680">
        <f>IF(AND(D680&lt;&gt;"",E680&lt;&gt;""),D680*E680+IF(ISBLANK(F680),0,F680),"")</f>
        <v/>
      </c>
    </row>
    <row r="681">
      <c r="G681">
        <f>IF(AND(D681&lt;&gt;"",E681&lt;&gt;""),D681*E681+IF(ISBLANK(F681),0,F681),"")</f>
        <v/>
      </c>
    </row>
    <row r="682">
      <c r="G682">
        <f>IF(AND(D682&lt;&gt;"",E682&lt;&gt;""),D682*E682+IF(ISBLANK(F682),0,F682),"")</f>
        <v/>
      </c>
    </row>
    <row r="683">
      <c r="G683">
        <f>IF(AND(D683&lt;&gt;"",E683&lt;&gt;""),D683*E683+IF(ISBLANK(F683),0,F683),"")</f>
        <v/>
      </c>
    </row>
    <row r="684">
      <c r="G684">
        <f>IF(AND(D684&lt;&gt;"",E684&lt;&gt;""),D684*E684+IF(ISBLANK(F684),0,F684),"")</f>
        <v/>
      </c>
    </row>
    <row r="685">
      <c r="G685">
        <f>IF(AND(D685&lt;&gt;"",E685&lt;&gt;""),D685*E685+IF(ISBLANK(F685),0,F685),"")</f>
        <v/>
      </c>
    </row>
    <row r="686">
      <c r="G686">
        <f>IF(AND(D686&lt;&gt;"",E686&lt;&gt;""),D686*E686+IF(ISBLANK(F686),0,F686),"")</f>
        <v/>
      </c>
    </row>
    <row r="687">
      <c r="G687">
        <f>IF(AND(D687&lt;&gt;"",E687&lt;&gt;""),D687*E687+IF(ISBLANK(F687),0,F687),"")</f>
        <v/>
      </c>
    </row>
    <row r="688">
      <c r="G688">
        <f>IF(AND(D688&lt;&gt;"",E688&lt;&gt;""),D688*E688+IF(ISBLANK(F688),0,F688),"")</f>
        <v/>
      </c>
    </row>
    <row r="689">
      <c r="G689">
        <f>IF(AND(D689&lt;&gt;"",E689&lt;&gt;""),D689*E689+IF(ISBLANK(F689),0,F689),"")</f>
        <v/>
      </c>
    </row>
    <row r="690">
      <c r="G690">
        <f>IF(AND(D690&lt;&gt;"",E690&lt;&gt;""),D690*E690+IF(ISBLANK(F690),0,F690),"")</f>
        <v/>
      </c>
    </row>
    <row r="691">
      <c r="G691">
        <f>IF(AND(D691&lt;&gt;"",E691&lt;&gt;""),D691*E691+IF(ISBLANK(F691),0,F691),"")</f>
        <v/>
      </c>
    </row>
    <row r="692">
      <c r="G692">
        <f>IF(AND(D692&lt;&gt;"",E692&lt;&gt;""),D692*E692+IF(ISBLANK(F692),0,F692),"")</f>
        <v/>
      </c>
    </row>
    <row r="693">
      <c r="G693">
        <f>IF(AND(D693&lt;&gt;"",E693&lt;&gt;""),D693*E693+IF(ISBLANK(F693),0,F693),"")</f>
        <v/>
      </c>
    </row>
    <row r="694">
      <c r="G694">
        <f>IF(AND(D694&lt;&gt;"",E694&lt;&gt;""),D694*E694+IF(ISBLANK(F694),0,F694),"")</f>
        <v/>
      </c>
    </row>
    <row r="695">
      <c r="G695">
        <f>IF(AND(D695&lt;&gt;"",E695&lt;&gt;""),D695*E695+IF(ISBLANK(F695),0,F695),"")</f>
        <v/>
      </c>
    </row>
    <row r="696">
      <c r="G696">
        <f>IF(AND(D696&lt;&gt;"",E696&lt;&gt;""),D696*E696+IF(ISBLANK(F696),0,F696),"")</f>
        <v/>
      </c>
    </row>
    <row r="697">
      <c r="G697">
        <f>IF(AND(D697&lt;&gt;"",E697&lt;&gt;""),D697*E697+IF(ISBLANK(F697),0,F697),"")</f>
        <v/>
      </c>
    </row>
    <row r="698">
      <c r="G698">
        <f>IF(AND(D698&lt;&gt;"",E698&lt;&gt;""),D698*E698+IF(ISBLANK(F698),0,F698),"")</f>
        <v/>
      </c>
    </row>
    <row r="699">
      <c r="G699">
        <f>IF(AND(D699&lt;&gt;"",E699&lt;&gt;""),D699*E699+IF(ISBLANK(F699),0,F699),"")</f>
        <v/>
      </c>
    </row>
    <row r="700">
      <c r="G700">
        <f>IF(AND(D700&lt;&gt;"",E700&lt;&gt;""),D700*E700+IF(ISBLANK(F700),0,F700),"")</f>
        <v/>
      </c>
    </row>
    <row r="701">
      <c r="G701">
        <f>IF(AND(D701&lt;&gt;"",E701&lt;&gt;""),D701*E701+IF(ISBLANK(F701),0,F701),"")</f>
        <v/>
      </c>
    </row>
    <row r="702">
      <c r="G702">
        <f>IF(AND(D702&lt;&gt;"",E702&lt;&gt;""),D702*E702+IF(ISBLANK(F702),0,F702),"")</f>
        <v/>
      </c>
    </row>
    <row r="703">
      <c r="G703">
        <f>IF(AND(D703&lt;&gt;"",E703&lt;&gt;""),D703*E703+IF(ISBLANK(F703),0,F703),"")</f>
        <v/>
      </c>
    </row>
    <row r="704">
      <c r="G704">
        <f>IF(AND(D704&lt;&gt;"",E704&lt;&gt;""),D704*E704+IF(ISBLANK(F704),0,F704),"")</f>
        <v/>
      </c>
    </row>
    <row r="705">
      <c r="G705">
        <f>IF(AND(D705&lt;&gt;"",E705&lt;&gt;""),D705*E705+IF(ISBLANK(F705),0,F705),"")</f>
        <v/>
      </c>
    </row>
    <row r="706">
      <c r="G706">
        <f>IF(AND(D706&lt;&gt;"",E706&lt;&gt;""),D706*E706+IF(ISBLANK(F706),0,F706),"")</f>
        <v/>
      </c>
    </row>
    <row r="707">
      <c r="G707">
        <f>IF(AND(D707&lt;&gt;"",E707&lt;&gt;""),D707*E707+IF(ISBLANK(F707),0,F707),"")</f>
        <v/>
      </c>
    </row>
    <row r="708">
      <c r="G708">
        <f>IF(AND(D708&lt;&gt;"",E708&lt;&gt;""),D708*E708+IF(ISBLANK(F708),0,F708),"")</f>
        <v/>
      </c>
    </row>
    <row r="709">
      <c r="G709">
        <f>IF(AND(D709&lt;&gt;"",E709&lt;&gt;""),D709*E709+IF(ISBLANK(F709),0,F709),"")</f>
        <v/>
      </c>
    </row>
    <row r="710">
      <c r="G710">
        <f>IF(AND(D710&lt;&gt;"",E710&lt;&gt;""),D710*E710+IF(ISBLANK(F710),0,F710),"")</f>
        <v/>
      </c>
    </row>
    <row r="711">
      <c r="G711">
        <f>IF(AND(D711&lt;&gt;"",E711&lt;&gt;""),D711*E711+IF(ISBLANK(F711),0,F711),"")</f>
        <v/>
      </c>
    </row>
    <row r="712">
      <c r="G712">
        <f>IF(AND(D712&lt;&gt;"",E712&lt;&gt;""),D712*E712+IF(ISBLANK(F712),0,F712),"")</f>
        <v/>
      </c>
    </row>
    <row r="713">
      <c r="G713">
        <f>IF(AND(D713&lt;&gt;"",E713&lt;&gt;""),D713*E713+IF(ISBLANK(F713),0,F713),"")</f>
        <v/>
      </c>
    </row>
    <row r="714">
      <c r="G714">
        <f>IF(AND(D714&lt;&gt;"",E714&lt;&gt;""),D714*E714+IF(ISBLANK(F714),0,F714),"")</f>
        <v/>
      </c>
    </row>
    <row r="715">
      <c r="G715">
        <f>IF(AND(D715&lt;&gt;"",E715&lt;&gt;""),D715*E715+IF(ISBLANK(F715),0,F715),"")</f>
        <v/>
      </c>
    </row>
    <row r="716">
      <c r="G716">
        <f>IF(AND(D716&lt;&gt;"",E716&lt;&gt;""),D716*E716+IF(ISBLANK(F716),0,F716),"")</f>
        <v/>
      </c>
    </row>
    <row r="717">
      <c r="G717">
        <f>IF(AND(D717&lt;&gt;"",E717&lt;&gt;""),D717*E717+IF(ISBLANK(F717),0,F717),"")</f>
        <v/>
      </c>
    </row>
    <row r="718">
      <c r="G718">
        <f>IF(AND(D718&lt;&gt;"",E718&lt;&gt;""),D718*E718+IF(ISBLANK(F718),0,F718),"")</f>
        <v/>
      </c>
    </row>
    <row r="719">
      <c r="G719">
        <f>IF(AND(D719&lt;&gt;"",E719&lt;&gt;""),D719*E719+IF(ISBLANK(F719),0,F719),"")</f>
        <v/>
      </c>
    </row>
    <row r="720">
      <c r="G720">
        <f>IF(AND(D720&lt;&gt;"",E720&lt;&gt;""),D720*E720+IF(ISBLANK(F720),0,F720),"")</f>
        <v/>
      </c>
    </row>
    <row r="721">
      <c r="G721">
        <f>IF(AND(D721&lt;&gt;"",E721&lt;&gt;""),D721*E721+IF(ISBLANK(F721),0,F721),"")</f>
        <v/>
      </c>
    </row>
    <row r="722">
      <c r="G722">
        <f>IF(AND(D722&lt;&gt;"",E722&lt;&gt;""),D722*E722+IF(ISBLANK(F722),0,F722),"")</f>
        <v/>
      </c>
    </row>
    <row r="723">
      <c r="G723">
        <f>IF(AND(D723&lt;&gt;"",E723&lt;&gt;""),D723*E723+IF(ISBLANK(F723),0,F723),"")</f>
        <v/>
      </c>
    </row>
    <row r="724">
      <c r="G724">
        <f>IF(AND(D724&lt;&gt;"",E724&lt;&gt;""),D724*E724+IF(ISBLANK(F724),0,F724),"")</f>
        <v/>
      </c>
    </row>
    <row r="725">
      <c r="G725">
        <f>IF(AND(D725&lt;&gt;"",E725&lt;&gt;""),D725*E725+IF(ISBLANK(F725),0,F725),"")</f>
        <v/>
      </c>
    </row>
    <row r="726">
      <c r="G726">
        <f>IF(AND(D726&lt;&gt;"",E726&lt;&gt;""),D726*E726+IF(ISBLANK(F726),0,F726),"")</f>
        <v/>
      </c>
    </row>
    <row r="727">
      <c r="G727">
        <f>IF(AND(D727&lt;&gt;"",E727&lt;&gt;""),D727*E727+IF(ISBLANK(F727),0,F727),"")</f>
        <v/>
      </c>
    </row>
    <row r="728">
      <c r="G728">
        <f>IF(AND(D728&lt;&gt;"",E728&lt;&gt;""),D728*E728+IF(ISBLANK(F728),0,F728),"")</f>
        <v/>
      </c>
    </row>
    <row r="729">
      <c r="G729">
        <f>IF(AND(D729&lt;&gt;"",E729&lt;&gt;""),D729*E729+IF(ISBLANK(F729),0,F729),"")</f>
        <v/>
      </c>
    </row>
    <row r="730">
      <c r="G730">
        <f>IF(AND(D730&lt;&gt;"",E730&lt;&gt;""),D730*E730+IF(ISBLANK(F730),0,F730),"")</f>
        <v/>
      </c>
    </row>
    <row r="731">
      <c r="G731">
        <f>IF(AND(D731&lt;&gt;"",E731&lt;&gt;""),D731*E731+IF(ISBLANK(F731),0,F731),"")</f>
        <v/>
      </c>
    </row>
    <row r="732">
      <c r="G732">
        <f>IF(AND(D732&lt;&gt;"",E732&lt;&gt;""),D732*E732+IF(ISBLANK(F732),0,F732),"")</f>
        <v/>
      </c>
    </row>
    <row r="733">
      <c r="G733">
        <f>IF(AND(D733&lt;&gt;"",E733&lt;&gt;""),D733*E733+IF(ISBLANK(F733),0,F733),"")</f>
        <v/>
      </c>
    </row>
    <row r="734">
      <c r="G734">
        <f>IF(AND(D734&lt;&gt;"",E734&lt;&gt;""),D734*E734+IF(ISBLANK(F734),0,F734),"")</f>
        <v/>
      </c>
    </row>
    <row r="735">
      <c r="G735">
        <f>IF(AND(D735&lt;&gt;"",E735&lt;&gt;""),D735*E735+IF(ISBLANK(F735),0,F735),"")</f>
        <v/>
      </c>
    </row>
    <row r="736">
      <c r="G736">
        <f>IF(AND(D736&lt;&gt;"",E736&lt;&gt;""),D736*E736+IF(ISBLANK(F736),0,F736),"")</f>
        <v/>
      </c>
    </row>
    <row r="737">
      <c r="G737">
        <f>IF(AND(D737&lt;&gt;"",E737&lt;&gt;""),D737*E737+IF(ISBLANK(F737),0,F737),"")</f>
        <v/>
      </c>
    </row>
    <row r="738">
      <c r="G738">
        <f>IF(AND(D738&lt;&gt;"",E738&lt;&gt;""),D738*E738+IF(ISBLANK(F738),0,F738),"")</f>
        <v/>
      </c>
    </row>
    <row r="739">
      <c r="G739">
        <f>IF(AND(D739&lt;&gt;"",E739&lt;&gt;""),D739*E739+IF(ISBLANK(F739),0,F739),"")</f>
        <v/>
      </c>
    </row>
    <row r="740">
      <c r="G740">
        <f>IF(AND(D740&lt;&gt;"",E740&lt;&gt;""),D740*E740+IF(ISBLANK(F740),0,F740),"")</f>
        <v/>
      </c>
    </row>
    <row r="741">
      <c r="G741">
        <f>IF(AND(D741&lt;&gt;"",E741&lt;&gt;""),D741*E741+IF(ISBLANK(F741),0,F741),"")</f>
        <v/>
      </c>
    </row>
    <row r="742">
      <c r="G742">
        <f>IF(AND(D742&lt;&gt;"",E742&lt;&gt;""),D742*E742+IF(ISBLANK(F742),0,F742),"")</f>
        <v/>
      </c>
    </row>
    <row r="743">
      <c r="G743">
        <f>IF(AND(D743&lt;&gt;"",E743&lt;&gt;""),D743*E743+IF(ISBLANK(F743),0,F743),"")</f>
        <v/>
      </c>
    </row>
    <row r="744">
      <c r="G744">
        <f>IF(AND(D744&lt;&gt;"",E744&lt;&gt;""),D744*E744+IF(ISBLANK(F744),0,F744),"")</f>
        <v/>
      </c>
    </row>
    <row r="745">
      <c r="G745">
        <f>IF(AND(D745&lt;&gt;"",E745&lt;&gt;""),D745*E745+IF(ISBLANK(F745),0,F745),"")</f>
        <v/>
      </c>
    </row>
    <row r="746">
      <c r="G746">
        <f>IF(AND(D746&lt;&gt;"",E746&lt;&gt;""),D746*E746+IF(ISBLANK(F746),0,F746),"")</f>
        <v/>
      </c>
    </row>
    <row r="747">
      <c r="G747">
        <f>IF(AND(D747&lt;&gt;"",E747&lt;&gt;""),D747*E747+IF(ISBLANK(F747),0,F747),"")</f>
        <v/>
      </c>
    </row>
    <row r="748">
      <c r="G748">
        <f>IF(AND(D748&lt;&gt;"",E748&lt;&gt;""),D748*E748+IF(ISBLANK(F748),0,F748),"")</f>
        <v/>
      </c>
    </row>
    <row r="749">
      <c r="G749">
        <f>IF(AND(D749&lt;&gt;"",E749&lt;&gt;""),D749*E749+IF(ISBLANK(F749),0,F749),"")</f>
        <v/>
      </c>
    </row>
    <row r="750">
      <c r="G750">
        <f>IF(AND(D750&lt;&gt;"",E750&lt;&gt;""),D750*E750+IF(ISBLANK(F750),0,F750),"")</f>
        <v/>
      </c>
    </row>
    <row r="751">
      <c r="G751">
        <f>IF(AND(D751&lt;&gt;"",E751&lt;&gt;""),D751*E751+IF(ISBLANK(F751),0,F751),"")</f>
        <v/>
      </c>
    </row>
    <row r="752">
      <c r="G752">
        <f>IF(AND(D752&lt;&gt;"",E752&lt;&gt;""),D752*E752+IF(ISBLANK(F752),0,F752),"")</f>
        <v/>
      </c>
    </row>
    <row r="753">
      <c r="G753">
        <f>IF(AND(D753&lt;&gt;"",E753&lt;&gt;""),D753*E753+IF(ISBLANK(F753),0,F753),"")</f>
        <v/>
      </c>
    </row>
    <row r="754">
      <c r="G754">
        <f>IF(AND(D754&lt;&gt;"",E754&lt;&gt;""),D754*E754+IF(ISBLANK(F754),0,F754),"")</f>
        <v/>
      </c>
    </row>
    <row r="755">
      <c r="G755">
        <f>IF(AND(D755&lt;&gt;"",E755&lt;&gt;""),D755*E755+IF(ISBLANK(F755),0,F755),"")</f>
        <v/>
      </c>
    </row>
    <row r="756">
      <c r="G756">
        <f>IF(AND(D756&lt;&gt;"",E756&lt;&gt;""),D756*E756+IF(ISBLANK(F756),0,F756),"")</f>
        <v/>
      </c>
    </row>
    <row r="757">
      <c r="G757">
        <f>IF(AND(D757&lt;&gt;"",E757&lt;&gt;""),D757*E757+IF(ISBLANK(F757),0,F757),"")</f>
        <v/>
      </c>
    </row>
    <row r="758">
      <c r="G758">
        <f>IF(AND(D758&lt;&gt;"",E758&lt;&gt;""),D758*E758+IF(ISBLANK(F758),0,F758),"")</f>
        <v/>
      </c>
    </row>
    <row r="759">
      <c r="G759">
        <f>IF(AND(D759&lt;&gt;"",E759&lt;&gt;""),D759*E759+IF(ISBLANK(F759),0,F759),"")</f>
        <v/>
      </c>
    </row>
    <row r="760">
      <c r="G760">
        <f>IF(AND(D760&lt;&gt;"",E760&lt;&gt;""),D760*E760+IF(ISBLANK(F760),0,F760),"")</f>
        <v/>
      </c>
    </row>
    <row r="761">
      <c r="G761">
        <f>IF(AND(D761&lt;&gt;"",E761&lt;&gt;""),D761*E761+IF(ISBLANK(F761),0,F761),"")</f>
        <v/>
      </c>
    </row>
    <row r="762">
      <c r="G762">
        <f>IF(AND(D762&lt;&gt;"",E762&lt;&gt;""),D762*E762+IF(ISBLANK(F762),0,F762),"")</f>
        <v/>
      </c>
    </row>
    <row r="763">
      <c r="G763">
        <f>IF(AND(D763&lt;&gt;"",E763&lt;&gt;""),D763*E763+IF(ISBLANK(F763),0,F763),"")</f>
        <v/>
      </c>
    </row>
    <row r="764">
      <c r="G764">
        <f>IF(AND(D764&lt;&gt;"",E764&lt;&gt;""),D764*E764+IF(ISBLANK(F764),0,F764),"")</f>
        <v/>
      </c>
    </row>
    <row r="765">
      <c r="G765">
        <f>IF(AND(D765&lt;&gt;"",E765&lt;&gt;""),D765*E765+IF(ISBLANK(F765),0,F765),"")</f>
        <v/>
      </c>
    </row>
    <row r="766">
      <c r="G766">
        <f>IF(AND(D766&lt;&gt;"",E766&lt;&gt;""),D766*E766+IF(ISBLANK(F766),0,F766),"")</f>
        <v/>
      </c>
    </row>
    <row r="767">
      <c r="G767">
        <f>IF(AND(D767&lt;&gt;"",E767&lt;&gt;""),D767*E767+IF(ISBLANK(F767),0,F767),"")</f>
        <v/>
      </c>
    </row>
    <row r="768">
      <c r="G768">
        <f>IF(AND(D768&lt;&gt;"",E768&lt;&gt;""),D768*E768+IF(ISBLANK(F768),0,F768),"")</f>
        <v/>
      </c>
    </row>
    <row r="769">
      <c r="G769">
        <f>IF(AND(D769&lt;&gt;"",E769&lt;&gt;""),D769*E769+IF(ISBLANK(F769),0,F769),"")</f>
        <v/>
      </c>
    </row>
    <row r="770">
      <c r="G770">
        <f>IF(AND(D770&lt;&gt;"",E770&lt;&gt;""),D770*E770+IF(ISBLANK(F770),0,F770),"")</f>
        <v/>
      </c>
    </row>
    <row r="771">
      <c r="G771">
        <f>IF(AND(D771&lt;&gt;"",E771&lt;&gt;""),D771*E771+IF(ISBLANK(F771),0,F771),"")</f>
        <v/>
      </c>
    </row>
    <row r="772">
      <c r="G772">
        <f>IF(AND(D772&lt;&gt;"",E772&lt;&gt;""),D772*E772+IF(ISBLANK(F772),0,F772),"")</f>
        <v/>
      </c>
    </row>
    <row r="773">
      <c r="G773">
        <f>IF(AND(D773&lt;&gt;"",E773&lt;&gt;""),D773*E773+IF(ISBLANK(F773),0,F773),"")</f>
        <v/>
      </c>
    </row>
    <row r="774">
      <c r="G774">
        <f>IF(AND(D774&lt;&gt;"",E774&lt;&gt;""),D774*E774+IF(ISBLANK(F774),0,F774),"")</f>
        <v/>
      </c>
    </row>
    <row r="775">
      <c r="G775">
        <f>IF(AND(D775&lt;&gt;"",E775&lt;&gt;""),D775*E775+IF(ISBLANK(F775),0,F775),"")</f>
        <v/>
      </c>
    </row>
    <row r="776">
      <c r="G776">
        <f>IF(AND(D776&lt;&gt;"",E776&lt;&gt;""),D776*E776+IF(ISBLANK(F776),0,F776),"")</f>
        <v/>
      </c>
    </row>
    <row r="777">
      <c r="G777">
        <f>IF(AND(D777&lt;&gt;"",E777&lt;&gt;""),D777*E777+IF(ISBLANK(F777),0,F777),"")</f>
        <v/>
      </c>
    </row>
    <row r="778">
      <c r="G778">
        <f>IF(AND(D778&lt;&gt;"",E778&lt;&gt;""),D778*E778+IF(ISBLANK(F778),0,F778),"")</f>
        <v/>
      </c>
    </row>
    <row r="779">
      <c r="G779">
        <f>IF(AND(D779&lt;&gt;"",E779&lt;&gt;""),D779*E779+IF(ISBLANK(F779),0,F779),"")</f>
        <v/>
      </c>
    </row>
    <row r="780">
      <c r="G780">
        <f>IF(AND(D780&lt;&gt;"",E780&lt;&gt;""),D780*E780+IF(ISBLANK(F780),0,F780),"")</f>
        <v/>
      </c>
    </row>
    <row r="781">
      <c r="G781">
        <f>IF(AND(D781&lt;&gt;"",E781&lt;&gt;""),D781*E781+IF(ISBLANK(F781),0,F781),"")</f>
        <v/>
      </c>
    </row>
    <row r="782">
      <c r="G782">
        <f>IF(AND(D782&lt;&gt;"",E782&lt;&gt;""),D782*E782+IF(ISBLANK(F782),0,F782),"")</f>
        <v/>
      </c>
    </row>
    <row r="783">
      <c r="G783">
        <f>IF(AND(D783&lt;&gt;"",E783&lt;&gt;""),D783*E783+IF(ISBLANK(F783),0,F783),"")</f>
        <v/>
      </c>
    </row>
    <row r="784">
      <c r="G784">
        <f>IF(AND(D784&lt;&gt;"",E784&lt;&gt;""),D784*E784+IF(ISBLANK(F784),0,F784),"")</f>
        <v/>
      </c>
    </row>
    <row r="785">
      <c r="G785">
        <f>IF(AND(D785&lt;&gt;"",E785&lt;&gt;""),D785*E785+IF(ISBLANK(F785),0,F785),"")</f>
        <v/>
      </c>
    </row>
    <row r="786">
      <c r="G786">
        <f>IF(AND(D786&lt;&gt;"",E786&lt;&gt;""),D786*E786+IF(ISBLANK(F786),0,F786),"")</f>
        <v/>
      </c>
    </row>
    <row r="787">
      <c r="G787">
        <f>IF(AND(D787&lt;&gt;"",E787&lt;&gt;""),D787*E787+IF(ISBLANK(F787),0,F787),"")</f>
        <v/>
      </c>
    </row>
    <row r="788">
      <c r="G788">
        <f>IF(AND(D788&lt;&gt;"",E788&lt;&gt;""),D788*E788+IF(ISBLANK(F788),0,F788),"")</f>
        <v/>
      </c>
    </row>
    <row r="789">
      <c r="G789">
        <f>IF(AND(D789&lt;&gt;"",E789&lt;&gt;""),D789*E789+IF(ISBLANK(F789),0,F789),"")</f>
        <v/>
      </c>
    </row>
    <row r="790">
      <c r="G790">
        <f>IF(AND(D790&lt;&gt;"",E790&lt;&gt;""),D790*E790+IF(ISBLANK(F790),0,F790),"")</f>
        <v/>
      </c>
    </row>
    <row r="791">
      <c r="G791">
        <f>IF(AND(D791&lt;&gt;"",E791&lt;&gt;""),D791*E791+IF(ISBLANK(F791),0,F791),"")</f>
        <v/>
      </c>
    </row>
    <row r="792">
      <c r="G792">
        <f>IF(AND(D792&lt;&gt;"",E792&lt;&gt;""),D792*E792+IF(ISBLANK(F792),0,F792),"")</f>
        <v/>
      </c>
    </row>
    <row r="793">
      <c r="G793">
        <f>IF(AND(D793&lt;&gt;"",E793&lt;&gt;""),D793*E793+IF(ISBLANK(F793),0,F793),"")</f>
        <v/>
      </c>
    </row>
    <row r="794">
      <c r="G794">
        <f>IF(AND(D794&lt;&gt;"",E794&lt;&gt;""),D794*E794+IF(ISBLANK(F794),0,F794),"")</f>
        <v/>
      </c>
    </row>
    <row r="795">
      <c r="G795">
        <f>IF(AND(D795&lt;&gt;"",E795&lt;&gt;""),D795*E795+IF(ISBLANK(F795),0,F795),"")</f>
        <v/>
      </c>
    </row>
    <row r="796">
      <c r="G796">
        <f>IF(AND(D796&lt;&gt;"",E796&lt;&gt;""),D796*E796+IF(ISBLANK(F796),0,F796),"")</f>
        <v/>
      </c>
    </row>
    <row r="797">
      <c r="G797">
        <f>IF(AND(D797&lt;&gt;"",E797&lt;&gt;""),D797*E797+IF(ISBLANK(F797),0,F797),"")</f>
        <v/>
      </c>
    </row>
    <row r="798">
      <c r="G798">
        <f>IF(AND(D798&lt;&gt;"",E798&lt;&gt;""),D798*E798+IF(ISBLANK(F798),0,F798),"")</f>
        <v/>
      </c>
    </row>
    <row r="799">
      <c r="G799">
        <f>IF(AND(D799&lt;&gt;"",E799&lt;&gt;""),D799*E799+IF(ISBLANK(F799),0,F799),"")</f>
        <v/>
      </c>
    </row>
    <row r="800">
      <c r="G800">
        <f>IF(AND(D800&lt;&gt;"",E800&lt;&gt;""),D800*E800+IF(ISBLANK(F800),0,F800),"")</f>
        <v/>
      </c>
    </row>
    <row r="801">
      <c r="G801">
        <f>IF(AND(D801&lt;&gt;"",E801&lt;&gt;""),D801*E801+IF(ISBLANK(F801),0,F801),"")</f>
        <v/>
      </c>
    </row>
    <row r="802">
      <c r="G802">
        <f>IF(AND(D802&lt;&gt;"",E802&lt;&gt;""),D802*E802+IF(ISBLANK(F802),0,F802),"")</f>
        <v/>
      </c>
    </row>
    <row r="803">
      <c r="G803">
        <f>IF(AND(D803&lt;&gt;"",E803&lt;&gt;""),D803*E803+IF(ISBLANK(F803),0,F803),"")</f>
        <v/>
      </c>
    </row>
    <row r="804">
      <c r="G804">
        <f>IF(AND(D804&lt;&gt;"",E804&lt;&gt;""),D804*E804+IF(ISBLANK(F804),0,F804),"")</f>
        <v/>
      </c>
    </row>
    <row r="805">
      <c r="G805">
        <f>IF(AND(D805&lt;&gt;"",E805&lt;&gt;""),D805*E805+IF(ISBLANK(F805),0,F805),"")</f>
        <v/>
      </c>
    </row>
    <row r="806">
      <c r="G806">
        <f>IF(AND(D806&lt;&gt;"",E806&lt;&gt;""),D806*E806+IF(ISBLANK(F806),0,F806),"")</f>
        <v/>
      </c>
    </row>
    <row r="807">
      <c r="G807">
        <f>IF(AND(D807&lt;&gt;"",E807&lt;&gt;""),D807*E807+IF(ISBLANK(F807),0,F807),"")</f>
        <v/>
      </c>
    </row>
    <row r="808">
      <c r="G808">
        <f>IF(AND(D808&lt;&gt;"",E808&lt;&gt;""),D808*E808+IF(ISBLANK(F808),0,F808),"")</f>
        <v/>
      </c>
    </row>
    <row r="809">
      <c r="G809">
        <f>IF(AND(D809&lt;&gt;"",E809&lt;&gt;""),D809*E809+IF(ISBLANK(F809),0,F809),"")</f>
        <v/>
      </c>
    </row>
    <row r="810">
      <c r="G810">
        <f>IF(AND(D810&lt;&gt;"",E810&lt;&gt;""),D810*E810+IF(ISBLANK(F810),0,F810),"")</f>
        <v/>
      </c>
    </row>
    <row r="811">
      <c r="G811">
        <f>IF(AND(D811&lt;&gt;"",E811&lt;&gt;""),D811*E811+IF(ISBLANK(F811),0,F811),"")</f>
        <v/>
      </c>
    </row>
    <row r="812">
      <c r="G812">
        <f>IF(AND(D812&lt;&gt;"",E812&lt;&gt;""),D812*E812+IF(ISBLANK(F812),0,F812),"")</f>
        <v/>
      </c>
    </row>
    <row r="813">
      <c r="G813">
        <f>IF(AND(D813&lt;&gt;"",E813&lt;&gt;""),D813*E813+IF(ISBLANK(F813),0,F813),"")</f>
        <v/>
      </c>
    </row>
    <row r="814">
      <c r="G814">
        <f>IF(AND(D814&lt;&gt;"",E814&lt;&gt;""),D814*E814+IF(ISBLANK(F814),0,F814),"")</f>
        <v/>
      </c>
    </row>
    <row r="815">
      <c r="G815">
        <f>IF(AND(D815&lt;&gt;"",E815&lt;&gt;""),D815*E815+IF(ISBLANK(F815),0,F815),"")</f>
        <v/>
      </c>
    </row>
    <row r="816">
      <c r="G816">
        <f>IF(AND(D816&lt;&gt;"",E816&lt;&gt;""),D816*E816+IF(ISBLANK(F816),0,F816),"")</f>
        <v/>
      </c>
    </row>
    <row r="817">
      <c r="G817">
        <f>IF(AND(D817&lt;&gt;"",E817&lt;&gt;""),D817*E817+IF(ISBLANK(F817),0,F817),"")</f>
        <v/>
      </c>
    </row>
    <row r="818">
      <c r="G818">
        <f>IF(AND(D818&lt;&gt;"",E818&lt;&gt;""),D818*E818+IF(ISBLANK(F818),0,F818),"")</f>
        <v/>
      </c>
    </row>
    <row r="819">
      <c r="G819">
        <f>IF(AND(D819&lt;&gt;"",E819&lt;&gt;""),D819*E819+IF(ISBLANK(F819),0,F819),"")</f>
        <v/>
      </c>
    </row>
    <row r="820">
      <c r="G820">
        <f>IF(AND(D820&lt;&gt;"",E820&lt;&gt;""),D820*E820+IF(ISBLANK(F820),0,F820),"")</f>
        <v/>
      </c>
    </row>
    <row r="821">
      <c r="G821">
        <f>IF(AND(D821&lt;&gt;"",E821&lt;&gt;""),D821*E821+IF(ISBLANK(F821),0,F821),"")</f>
        <v/>
      </c>
    </row>
    <row r="822">
      <c r="G822">
        <f>IF(AND(D822&lt;&gt;"",E822&lt;&gt;""),D822*E822+IF(ISBLANK(F822),0,F822),"")</f>
        <v/>
      </c>
    </row>
    <row r="823">
      <c r="G823">
        <f>IF(AND(D823&lt;&gt;"",E823&lt;&gt;""),D823*E823+IF(ISBLANK(F823),0,F823),"")</f>
        <v/>
      </c>
    </row>
    <row r="824">
      <c r="G824">
        <f>IF(AND(D824&lt;&gt;"",E824&lt;&gt;""),D824*E824+IF(ISBLANK(F824),0,F824),"")</f>
        <v/>
      </c>
    </row>
    <row r="825">
      <c r="G825">
        <f>IF(AND(D825&lt;&gt;"",E825&lt;&gt;""),D825*E825+IF(ISBLANK(F825),0,F825),"")</f>
        <v/>
      </c>
    </row>
    <row r="826">
      <c r="G826">
        <f>IF(AND(D826&lt;&gt;"",E826&lt;&gt;""),D826*E826+IF(ISBLANK(F826),0,F826),"")</f>
        <v/>
      </c>
    </row>
    <row r="827">
      <c r="G827">
        <f>IF(AND(D827&lt;&gt;"",E827&lt;&gt;""),D827*E827+IF(ISBLANK(F827),0,F827),"")</f>
        <v/>
      </c>
    </row>
    <row r="828">
      <c r="G828">
        <f>IF(AND(D828&lt;&gt;"",E828&lt;&gt;""),D828*E828+IF(ISBLANK(F828),0,F828),"")</f>
        <v/>
      </c>
    </row>
    <row r="829">
      <c r="G829">
        <f>IF(AND(D829&lt;&gt;"",E829&lt;&gt;""),D829*E829+IF(ISBLANK(F829),0,F829),"")</f>
        <v/>
      </c>
    </row>
    <row r="830">
      <c r="G830">
        <f>IF(AND(D830&lt;&gt;"",E830&lt;&gt;""),D830*E830+IF(ISBLANK(F830),0,F830),"")</f>
        <v/>
      </c>
    </row>
    <row r="831">
      <c r="G831">
        <f>IF(AND(D831&lt;&gt;"",E831&lt;&gt;""),D831*E831+IF(ISBLANK(F831),0,F831),"")</f>
        <v/>
      </c>
    </row>
    <row r="832">
      <c r="G832">
        <f>IF(AND(D832&lt;&gt;"",E832&lt;&gt;""),D832*E832+IF(ISBLANK(F832),0,F832),"")</f>
        <v/>
      </c>
    </row>
    <row r="833">
      <c r="G833">
        <f>IF(AND(D833&lt;&gt;"",E833&lt;&gt;""),D833*E833+IF(ISBLANK(F833),0,F833),"")</f>
        <v/>
      </c>
    </row>
    <row r="834">
      <c r="G834">
        <f>IF(AND(D834&lt;&gt;"",E834&lt;&gt;""),D834*E834+IF(ISBLANK(F834),0,F834),"")</f>
        <v/>
      </c>
    </row>
    <row r="835">
      <c r="G835">
        <f>IF(AND(D835&lt;&gt;"",E835&lt;&gt;""),D835*E835+IF(ISBLANK(F835),0,F835),"")</f>
        <v/>
      </c>
    </row>
    <row r="836">
      <c r="G836">
        <f>IF(AND(D836&lt;&gt;"",E836&lt;&gt;""),D836*E836+IF(ISBLANK(F836),0,F836),"")</f>
        <v/>
      </c>
    </row>
    <row r="837">
      <c r="G837">
        <f>IF(AND(D837&lt;&gt;"",E837&lt;&gt;""),D837*E837+IF(ISBLANK(F837),0,F837),"")</f>
        <v/>
      </c>
    </row>
    <row r="838">
      <c r="G838">
        <f>IF(AND(D838&lt;&gt;"",E838&lt;&gt;""),D838*E838+IF(ISBLANK(F838),0,F838),"")</f>
        <v/>
      </c>
    </row>
    <row r="839">
      <c r="G839">
        <f>IF(AND(D839&lt;&gt;"",E839&lt;&gt;""),D839*E839+IF(ISBLANK(F839),0,F839),"")</f>
        <v/>
      </c>
    </row>
    <row r="840">
      <c r="G840">
        <f>IF(AND(D840&lt;&gt;"",E840&lt;&gt;""),D840*E840+IF(ISBLANK(F840),0,F840),"")</f>
        <v/>
      </c>
    </row>
    <row r="841">
      <c r="G841">
        <f>IF(AND(D841&lt;&gt;"",E841&lt;&gt;""),D841*E841+IF(ISBLANK(F841),0,F841),"")</f>
        <v/>
      </c>
    </row>
    <row r="842">
      <c r="G842">
        <f>IF(AND(D842&lt;&gt;"",E842&lt;&gt;""),D842*E842+IF(ISBLANK(F842),0,F842),"")</f>
        <v/>
      </c>
    </row>
    <row r="843">
      <c r="G843">
        <f>IF(AND(D843&lt;&gt;"",E843&lt;&gt;""),D843*E843+IF(ISBLANK(F843),0,F843),"")</f>
        <v/>
      </c>
    </row>
    <row r="844">
      <c r="G844">
        <f>IF(AND(D844&lt;&gt;"",E844&lt;&gt;""),D844*E844+IF(ISBLANK(F844),0,F844),"")</f>
        <v/>
      </c>
    </row>
    <row r="845">
      <c r="G845">
        <f>IF(AND(D845&lt;&gt;"",E845&lt;&gt;""),D845*E845+IF(ISBLANK(F845),0,F845),"")</f>
        <v/>
      </c>
    </row>
    <row r="846">
      <c r="G846">
        <f>IF(AND(D846&lt;&gt;"",E846&lt;&gt;""),D846*E846+IF(ISBLANK(F846),0,F846),"")</f>
        <v/>
      </c>
    </row>
    <row r="847">
      <c r="G847">
        <f>IF(AND(D847&lt;&gt;"",E847&lt;&gt;""),D847*E847+IF(ISBLANK(F847),0,F847),"")</f>
        <v/>
      </c>
    </row>
    <row r="848">
      <c r="G848">
        <f>IF(AND(D848&lt;&gt;"",E848&lt;&gt;""),D848*E848+IF(ISBLANK(F848),0,F848),"")</f>
        <v/>
      </c>
    </row>
    <row r="849">
      <c r="G849">
        <f>IF(AND(D849&lt;&gt;"",E849&lt;&gt;""),D849*E849+IF(ISBLANK(F849),0,F849),"")</f>
        <v/>
      </c>
    </row>
    <row r="850">
      <c r="G850">
        <f>IF(AND(D850&lt;&gt;"",E850&lt;&gt;""),D850*E850+IF(ISBLANK(F850),0,F850),"")</f>
        <v/>
      </c>
    </row>
    <row r="851">
      <c r="G851">
        <f>IF(AND(D851&lt;&gt;"",E851&lt;&gt;""),D851*E851+IF(ISBLANK(F851),0,F851),"")</f>
        <v/>
      </c>
    </row>
    <row r="852">
      <c r="G852">
        <f>IF(AND(D852&lt;&gt;"",E852&lt;&gt;""),D852*E852+IF(ISBLANK(F852),0,F852),"")</f>
        <v/>
      </c>
    </row>
    <row r="853">
      <c r="G853">
        <f>IF(AND(D853&lt;&gt;"",E853&lt;&gt;""),D853*E853+IF(ISBLANK(F853),0,F853),"")</f>
        <v/>
      </c>
    </row>
    <row r="854">
      <c r="G854">
        <f>IF(AND(D854&lt;&gt;"",E854&lt;&gt;""),D854*E854+IF(ISBLANK(F854),0,F854),"")</f>
        <v/>
      </c>
    </row>
    <row r="855">
      <c r="G855">
        <f>IF(AND(D855&lt;&gt;"",E855&lt;&gt;""),D855*E855+IF(ISBLANK(F855),0,F855),"")</f>
        <v/>
      </c>
    </row>
    <row r="856">
      <c r="G856">
        <f>IF(AND(D856&lt;&gt;"",E856&lt;&gt;""),D856*E856+IF(ISBLANK(F856),0,F856),"")</f>
        <v/>
      </c>
    </row>
    <row r="857">
      <c r="G857">
        <f>IF(AND(D857&lt;&gt;"",E857&lt;&gt;""),D857*E857+IF(ISBLANK(F857),0,F857),"")</f>
        <v/>
      </c>
    </row>
    <row r="858">
      <c r="G858">
        <f>IF(AND(D858&lt;&gt;"",E858&lt;&gt;""),D858*E858+IF(ISBLANK(F858),0,F858),"")</f>
        <v/>
      </c>
    </row>
    <row r="859">
      <c r="G859">
        <f>IF(AND(D859&lt;&gt;"",E859&lt;&gt;""),D859*E859+IF(ISBLANK(F859),0,F859),"")</f>
        <v/>
      </c>
    </row>
    <row r="860">
      <c r="G860">
        <f>IF(AND(D860&lt;&gt;"",E860&lt;&gt;""),D860*E860+IF(ISBLANK(F860),0,F860),"")</f>
        <v/>
      </c>
    </row>
    <row r="861">
      <c r="G861">
        <f>IF(AND(D861&lt;&gt;"",E861&lt;&gt;""),D861*E861+IF(ISBLANK(F861),0,F861),"")</f>
        <v/>
      </c>
    </row>
    <row r="862">
      <c r="G862">
        <f>IF(AND(D862&lt;&gt;"",E862&lt;&gt;""),D862*E862+IF(ISBLANK(F862),0,F862),"")</f>
        <v/>
      </c>
    </row>
    <row r="863">
      <c r="G863">
        <f>IF(AND(D863&lt;&gt;"",E863&lt;&gt;""),D863*E863+IF(ISBLANK(F863),0,F863),"")</f>
        <v/>
      </c>
    </row>
    <row r="864">
      <c r="G864">
        <f>IF(AND(D864&lt;&gt;"",E864&lt;&gt;""),D864*E864+IF(ISBLANK(F864),0,F864),"")</f>
        <v/>
      </c>
    </row>
    <row r="865">
      <c r="G865">
        <f>IF(AND(D865&lt;&gt;"",E865&lt;&gt;""),D865*E865+IF(ISBLANK(F865),0,F865),"")</f>
        <v/>
      </c>
    </row>
    <row r="866">
      <c r="G866">
        <f>IF(AND(D866&lt;&gt;"",E866&lt;&gt;""),D866*E866+IF(ISBLANK(F866),0,F866),"")</f>
        <v/>
      </c>
    </row>
    <row r="867">
      <c r="G867">
        <f>IF(AND(D867&lt;&gt;"",E867&lt;&gt;""),D867*E867+IF(ISBLANK(F867),0,F867),"")</f>
        <v/>
      </c>
    </row>
    <row r="868">
      <c r="G868">
        <f>IF(AND(D868&lt;&gt;"",E868&lt;&gt;""),D868*E868+IF(ISBLANK(F868),0,F868),"")</f>
        <v/>
      </c>
    </row>
    <row r="869">
      <c r="G869">
        <f>IF(AND(D869&lt;&gt;"",E869&lt;&gt;""),D869*E869+IF(ISBLANK(F869),0,F869),"")</f>
        <v/>
      </c>
    </row>
    <row r="870">
      <c r="G870">
        <f>IF(AND(D870&lt;&gt;"",E870&lt;&gt;""),D870*E870+IF(ISBLANK(F870),0,F870),"")</f>
        <v/>
      </c>
    </row>
    <row r="871">
      <c r="G871">
        <f>IF(AND(D871&lt;&gt;"",E871&lt;&gt;""),D871*E871+IF(ISBLANK(F871),0,F871),"")</f>
        <v/>
      </c>
    </row>
    <row r="872">
      <c r="G872">
        <f>IF(AND(D872&lt;&gt;"",E872&lt;&gt;""),D872*E872+IF(ISBLANK(F872),0,F872),"")</f>
        <v/>
      </c>
    </row>
    <row r="873">
      <c r="G873">
        <f>IF(AND(D873&lt;&gt;"",E873&lt;&gt;""),D873*E873+IF(ISBLANK(F873),0,F873),"")</f>
        <v/>
      </c>
    </row>
    <row r="874">
      <c r="G874">
        <f>IF(AND(D874&lt;&gt;"",E874&lt;&gt;""),D874*E874+IF(ISBLANK(F874),0,F874),"")</f>
        <v/>
      </c>
    </row>
    <row r="875">
      <c r="G875">
        <f>IF(AND(D875&lt;&gt;"",E875&lt;&gt;""),D875*E875+IF(ISBLANK(F875),0,F875),"")</f>
        <v/>
      </c>
    </row>
    <row r="876">
      <c r="G876">
        <f>IF(AND(D876&lt;&gt;"",E876&lt;&gt;""),D876*E876+IF(ISBLANK(F876),0,F876),"")</f>
        <v/>
      </c>
    </row>
    <row r="877">
      <c r="G877">
        <f>IF(AND(D877&lt;&gt;"",E877&lt;&gt;""),D877*E877+IF(ISBLANK(F877),0,F877),"")</f>
        <v/>
      </c>
    </row>
    <row r="878">
      <c r="G878">
        <f>IF(AND(D878&lt;&gt;"",E878&lt;&gt;""),D878*E878+IF(ISBLANK(F878),0,F878),"")</f>
        <v/>
      </c>
    </row>
    <row r="879">
      <c r="G879">
        <f>IF(AND(D879&lt;&gt;"",E879&lt;&gt;""),D879*E879+IF(ISBLANK(F879),0,F879),"")</f>
        <v/>
      </c>
    </row>
    <row r="880">
      <c r="G880">
        <f>IF(AND(D880&lt;&gt;"",E880&lt;&gt;""),D880*E880+IF(ISBLANK(F880),0,F880),"")</f>
        <v/>
      </c>
    </row>
    <row r="881">
      <c r="G881">
        <f>IF(AND(D881&lt;&gt;"",E881&lt;&gt;""),D881*E881+IF(ISBLANK(F881),0,F881),"")</f>
        <v/>
      </c>
    </row>
    <row r="882">
      <c r="G882">
        <f>IF(AND(D882&lt;&gt;"",E882&lt;&gt;""),D882*E882+IF(ISBLANK(F882),0,F882),"")</f>
        <v/>
      </c>
    </row>
    <row r="883">
      <c r="G883">
        <f>IF(AND(D883&lt;&gt;"",E883&lt;&gt;""),D883*E883+IF(ISBLANK(F883),0,F883),"")</f>
        <v/>
      </c>
    </row>
    <row r="884">
      <c r="G884">
        <f>IF(AND(D884&lt;&gt;"",E884&lt;&gt;""),D884*E884+IF(ISBLANK(F884),0,F884),"")</f>
        <v/>
      </c>
    </row>
    <row r="885">
      <c r="G885">
        <f>IF(AND(D885&lt;&gt;"",E885&lt;&gt;""),D885*E885+IF(ISBLANK(F885),0,F885),"")</f>
        <v/>
      </c>
    </row>
    <row r="886">
      <c r="G886">
        <f>IF(AND(D886&lt;&gt;"",E886&lt;&gt;""),D886*E886+IF(ISBLANK(F886),0,F886),"")</f>
        <v/>
      </c>
    </row>
    <row r="887">
      <c r="G887">
        <f>IF(AND(D887&lt;&gt;"",E887&lt;&gt;""),D887*E887+IF(ISBLANK(F887),0,F887),"")</f>
        <v/>
      </c>
    </row>
    <row r="888">
      <c r="G888">
        <f>IF(AND(D888&lt;&gt;"",E888&lt;&gt;""),D888*E888+IF(ISBLANK(F888),0,F888),"")</f>
        <v/>
      </c>
    </row>
    <row r="889">
      <c r="G889">
        <f>IF(AND(D889&lt;&gt;"",E889&lt;&gt;""),D889*E889+IF(ISBLANK(F889),0,F889),"")</f>
        <v/>
      </c>
    </row>
    <row r="890">
      <c r="G890">
        <f>IF(AND(D890&lt;&gt;"",E890&lt;&gt;""),D890*E890+IF(ISBLANK(F890),0,F890),"")</f>
        <v/>
      </c>
    </row>
    <row r="891">
      <c r="G891">
        <f>IF(AND(D891&lt;&gt;"",E891&lt;&gt;""),D891*E891+IF(ISBLANK(F891),0,F891),"")</f>
        <v/>
      </c>
    </row>
    <row r="892">
      <c r="G892">
        <f>IF(AND(D892&lt;&gt;"",E892&lt;&gt;""),D892*E892+IF(ISBLANK(F892),0,F892),"")</f>
        <v/>
      </c>
    </row>
    <row r="893">
      <c r="G893">
        <f>IF(AND(D893&lt;&gt;"",E893&lt;&gt;""),D893*E893+IF(ISBLANK(F893),0,F893),"")</f>
        <v/>
      </c>
    </row>
    <row r="894">
      <c r="G894">
        <f>IF(AND(D894&lt;&gt;"",E894&lt;&gt;""),D894*E894+IF(ISBLANK(F894),0,F894),"")</f>
        <v/>
      </c>
    </row>
    <row r="895">
      <c r="G895">
        <f>IF(AND(D895&lt;&gt;"",E895&lt;&gt;""),D895*E895+IF(ISBLANK(F895),0,F895),"")</f>
        <v/>
      </c>
    </row>
    <row r="896">
      <c r="G896">
        <f>IF(AND(D896&lt;&gt;"",E896&lt;&gt;""),D896*E896+IF(ISBLANK(F896),0,F896),"")</f>
        <v/>
      </c>
    </row>
    <row r="897">
      <c r="G897">
        <f>IF(AND(D897&lt;&gt;"",E897&lt;&gt;""),D897*E897+IF(ISBLANK(F897),0,F897),"")</f>
        <v/>
      </c>
    </row>
    <row r="898">
      <c r="G898">
        <f>IF(AND(D898&lt;&gt;"",E898&lt;&gt;""),D898*E898+IF(ISBLANK(F898),0,F898),"")</f>
        <v/>
      </c>
    </row>
    <row r="899">
      <c r="G899">
        <f>IF(AND(D899&lt;&gt;"",E899&lt;&gt;""),D899*E899+IF(ISBLANK(F899),0,F899),"")</f>
        <v/>
      </c>
    </row>
    <row r="900">
      <c r="G900">
        <f>IF(AND(D900&lt;&gt;"",E900&lt;&gt;""),D900*E900+IF(ISBLANK(F900),0,F900),"")</f>
        <v/>
      </c>
    </row>
    <row r="901">
      <c r="G901">
        <f>IF(AND(D901&lt;&gt;"",E901&lt;&gt;""),D901*E901+IF(ISBLANK(F901),0,F901),"")</f>
        <v/>
      </c>
    </row>
    <row r="902">
      <c r="G902">
        <f>IF(AND(D902&lt;&gt;"",E902&lt;&gt;""),D902*E902+IF(ISBLANK(F902),0,F902),"")</f>
        <v/>
      </c>
    </row>
    <row r="903">
      <c r="G903">
        <f>IF(AND(D903&lt;&gt;"",E903&lt;&gt;""),D903*E903+IF(ISBLANK(F903),0,F903),"")</f>
        <v/>
      </c>
    </row>
    <row r="904">
      <c r="G904">
        <f>IF(AND(D904&lt;&gt;"",E904&lt;&gt;""),D904*E904+IF(ISBLANK(F904),0,F904),"")</f>
        <v/>
      </c>
    </row>
    <row r="905">
      <c r="G905">
        <f>IF(AND(D905&lt;&gt;"",E905&lt;&gt;""),D905*E905+IF(ISBLANK(F905),0,F905),"")</f>
        <v/>
      </c>
    </row>
    <row r="906">
      <c r="G906">
        <f>IF(AND(D906&lt;&gt;"",E906&lt;&gt;""),D906*E906+IF(ISBLANK(F906),0,F906),"")</f>
        <v/>
      </c>
    </row>
    <row r="907">
      <c r="G907">
        <f>IF(AND(D907&lt;&gt;"",E907&lt;&gt;""),D907*E907+IF(ISBLANK(F907),0,F907),"")</f>
        <v/>
      </c>
    </row>
    <row r="908">
      <c r="G908">
        <f>IF(AND(D908&lt;&gt;"",E908&lt;&gt;""),D908*E908+IF(ISBLANK(F908),0,F908),"")</f>
        <v/>
      </c>
    </row>
    <row r="909">
      <c r="G909">
        <f>IF(AND(D909&lt;&gt;"",E909&lt;&gt;""),D909*E909+IF(ISBLANK(F909),0,F909),"")</f>
        <v/>
      </c>
    </row>
    <row r="910">
      <c r="G910">
        <f>IF(AND(D910&lt;&gt;"",E910&lt;&gt;""),D910*E910+IF(ISBLANK(F910),0,F910),"")</f>
        <v/>
      </c>
    </row>
    <row r="911">
      <c r="G911">
        <f>IF(AND(D911&lt;&gt;"",E911&lt;&gt;""),D911*E911+IF(ISBLANK(F911),0,F911),"")</f>
        <v/>
      </c>
    </row>
    <row r="912">
      <c r="G912">
        <f>IF(AND(D912&lt;&gt;"",E912&lt;&gt;""),D912*E912+IF(ISBLANK(F912),0,F912),"")</f>
        <v/>
      </c>
    </row>
    <row r="913">
      <c r="G913">
        <f>IF(AND(D913&lt;&gt;"",E913&lt;&gt;""),D913*E913+IF(ISBLANK(F913),0,F913),"")</f>
        <v/>
      </c>
    </row>
    <row r="914">
      <c r="G914">
        <f>IF(AND(D914&lt;&gt;"",E914&lt;&gt;""),D914*E914+IF(ISBLANK(F914),0,F914),"")</f>
        <v/>
      </c>
    </row>
    <row r="915">
      <c r="G915">
        <f>IF(AND(D915&lt;&gt;"",E915&lt;&gt;""),D915*E915+IF(ISBLANK(F915),0,F915),"")</f>
        <v/>
      </c>
    </row>
    <row r="916">
      <c r="G916">
        <f>IF(AND(D916&lt;&gt;"",E916&lt;&gt;""),D916*E916+IF(ISBLANK(F916),0,F916),"")</f>
        <v/>
      </c>
    </row>
    <row r="917">
      <c r="G917">
        <f>IF(AND(D917&lt;&gt;"",E917&lt;&gt;""),D917*E917+IF(ISBLANK(F917),0,F917),"")</f>
        <v/>
      </c>
    </row>
    <row r="918">
      <c r="G918">
        <f>IF(AND(D918&lt;&gt;"",E918&lt;&gt;""),D918*E918+IF(ISBLANK(F918),0,F918),"")</f>
        <v/>
      </c>
    </row>
    <row r="919">
      <c r="G919">
        <f>IF(AND(D919&lt;&gt;"",E919&lt;&gt;""),D919*E919+IF(ISBLANK(F919),0,F919),"")</f>
        <v/>
      </c>
    </row>
    <row r="920">
      <c r="G920">
        <f>IF(AND(D920&lt;&gt;"",E920&lt;&gt;""),D920*E920+IF(ISBLANK(F920),0,F920),"")</f>
        <v/>
      </c>
    </row>
    <row r="921">
      <c r="G921">
        <f>IF(AND(D921&lt;&gt;"",E921&lt;&gt;""),D921*E921+IF(ISBLANK(F921),0,F921),"")</f>
        <v/>
      </c>
    </row>
    <row r="922">
      <c r="G922">
        <f>IF(AND(D922&lt;&gt;"",E922&lt;&gt;""),D922*E922+IF(ISBLANK(F922),0,F922),"")</f>
        <v/>
      </c>
    </row>
    <row r="923">
      <c r="G923">
        <f>IF(AND(D923&lt;&gt;"",E923&lt;&gt;""),D923*E923+IF(ISBLANK(F923),0,F923),"")</f>
        <v/>
      </c>
    </row>
    <row r="924">
      <c r="G924">
        <f>IF(AND(D924&lt;&gt;"",E924&lt;&gt;""),D924*E924+IF(ISBLANK(F924),0,F924),"")</f>
        <v/>
      </c>
    </row>
    <row r="925">
      <c r="G925">
        <f>IF(AND(D925&lt;&gt;"",E925&lt;&gt;""),D925*E925+IF(ISBLANK(F925),0,F925),"")</f>
        <v/>
      </c>
    </row>
    <row r="926">
      <c r="G926">
        <f>IF(AND(D926&lt;&gt;"",E926&lt;&gt;""),D926*E926+IF(ISBLANK(F926),0,F926),"")</f>
        <v/>
      </c>
    </row>
    <row r="927">
      <c r="G927">
        <f>IF(AND(D927&lt;&gt;"",E927&lt;&gt;""),D927*E927+IF(ISBLANK(F927),0,F927),"")</f>
        <v/>
      </c>
    </row>
    <row r="928">
      <c r="G928">
        <f>IF(AND(D928&lt;&gt;"",E928&lt;&gt;""),D928*E928+IF(ISBLANK(F928),0,F928),"")</f>
        <v/>
      </c>
    </row>
    <row r="929">
      <c r="G929">
        <f>IF(AND(D929&lt;&gt;"",E929&lt;&gt;""),D929*E929+IF(ISBLANK(F929),0,F929),"")</f>
        <v/>
      </c>
    </row>
    <row r="930">
      <c r="G930">
        <f>IF(AND(D930&lt;&gt;"",E930&lt;&gt;""),D930*E930+IF(ISBLANK(F930),0,F930),"")</f>
        <v/>
      </c>
    </row>
    <row r="931">
      <c r="G931">
        <f>IF(AND(D931&lt;&gt;"",E931&lt;&gt;""),D931*E931+IF(ISBLANK(F931),0,F931),"")</f>
        <v/>
      </c>
    </row>
    <row r="932">
      <c r="G932">
        <f>IF(AND(D932&lt;&gt;"",E932&lt;&gt;""),D932*E932+IF(ISBLANK(F932),0,F932),"")</f>
        <v/>
      </c>
    </row>
    <row r="933">
      <c r="G933">
        <f>IF(AND(D933&lt;&gt;"",E933&lt;&gt;""),D933*E933+IF(ISBLANK(F933),0,F933),"")</f>
        <v/>
      </c>
    </row>
    <row r="934">
      <c r="G934">
        <f>IF(AND(D934&lt;&gt;"",E934&lt;&gt;""),D934*E934+IF(ISBLANK(F934),0,F934),"")</f>
        <v/>
      </c>
    </row>
    <row r="935">
      <c r="G935">
        <f>IF(AND(D935&lt;&gt;"",E935&lt;&gt;""),D935*E935+IF(ISBLANK(F935),0,F935),"")</f>
        <v/>
      </c>
    </row>
    <row r="936">
      <c r="G936">
        <f>IF(AND(D936&lt;&gt;"",E936&lt;&gt;""),D936*E936+IF(ISBLANK(F936),0,F936),"")</f>
        <v/>
      </c>
    </row>
    <row r="937">
      <c r="G937">
        <f>IF(AND(D937&lt;&gt;"",E937&lt;&gt;""),D937*E937+IF(ISBLANK(F937),0,F937),"")</f>
        <v/>
      </c>
    </row>
    <row r="938">
      <c r="G938">
        <f>IF(AND(D938&lt;&gt;"",E938&lt;&gt;""),D938*E938+IF(ISBLANK(F938),0,F938),"")</f>
        <v/>
      </c>
    </row>
    <row r="939">
      <c r="G939">
        <f>IF(AND(D939&lt;&gt;"",E939&lt;&gt;""),D939*E939+IF(ISBLANK(F939),0,F939),"")</f>
        <v/>
      </c>
    </row>
    <row r="940">
      <c r="G940">
        <f>IF(AND(D940&lt;&gt;"",E940&lt;&gt;""),D940*E940+IF(ISBLANK(F940),0,F940),"")</f>
        <v/>
      </c>
    </row>
    <row r="941">
      <c r="G941">
        <f>IF(AND(D941&lt;&gt;"",E941&lt;&gt;""),D941*E941+IF(ISBLANK(F941),0,F941),"")</f>
        <v/>
      </c>
    </row>
    <row r="942">
      <c r="G942">
        <f>IF(AND(D942&lt;&gt;"",E942&lt;&gt;""),D942*E942+IF(ISBLANK(F942),0,F942),"")</f>
        <v/>
      </c>
    </row>
    <row r="943">
      <c r="G943">
        <f>IF(AND(D943&lt;&gt;"",E943&lt;&gt;""),D943*E943+IF(ISBLANK(F943),0,F943),"")</f>
        <v/>
      </c>
    </row>
    <row r="944">
      <c r="G944">
        <f>IF(AND(D944&lt;&gt;"",E944&lt;&gt;""),D944*E944+IF(ISBLANK(F944),0,F944),"")</f>
        <v/>
      </c>
    </row>
    <row r="945">
      <c r="G945">
        <f>IF(AND(D945&lt;&gt;"",E945&lt;&gt;""),D945*E945+IF(ISBLANK(F945),0,F945),"")</f>
        <v/>
      </c>
    </row>
    <row r="946">
      <c r="G946">
        <f>IF(AND(D946&lt;&gt;"",E946&lt;&gt;""),D946*E946+IF(ISBLANK(F946),0,F946),"")</f>
        <v/>
      </c>
    </row>
    <row r="947">
      <c r="G947">
        <f>IF(AND(D947&lt;&gt;"",E947&lt;&gt;""),D947*E947+IF(ISBLANK(F947),0,F947),"")</f>
        <v/>
      </c>
    </row>
    <row r="948">
      <c r="G948">
        <f>IF(AND(D948&lt;&gt;"",E948&lt;&gt;""),D948*E948+IF(ISBLANK(F948),0,F948),"")</f>
        <v/>
      </c>
    </row>
    <row r="949">
      <c r="G949">
        <f>IF(AND(D949&lt;&gt;"",E949&lt;&gt;""),D949*E949+IF(ISBLANK(F949),0,F949),"")</f>
        <v/>
      </c>
    </row>
    <row r="950">
      <c r="G950">
        <f>IF(AND(D950&lt;&gt;"",E950&lt;&gt;""),D950*E950+IF(ISBLANK(F950),0,F950),"")</f>
        <v/>
      </c>
    </row>
    <row r="951">
      <c r="G951">
        <f>IF(AND(D951&lt;&gt;"",E951&lt;&gt;""),D951*E951+IF(ISBLANK(F951),0,F951),"")</f>
        <v/>
      </c>
    </row>
    <row r="952">
      <c r="G952">
        <f>IF(AND(D952&lt;&gt;"",E952&lt;&gt;""),D952*E952+IF(ISBLANK(F952),0,F952),"")</f>
        <v/>
      </c>
    </row>
    <row r="953">
      <c r="G953">
        <f>IF(AND(D953&lt;&gt;"",E953&lt;&gt;""),D953*E953+IF(ISBLANK(F953),0,F953),"")</f>
        <v/>
      </c>
    </row>
    <row r="954">
      <c r="G954">
        <f>IF(AND(D954&lt;&gt;"",E954&lt;&gt;""),D954*E954+IF(ISBLANK(F954),0,F954),"")</f>
        <v/>
      </c>
    </row>
    <row r="955">
      <c r="G955">
        <f>IF(AND(D955&lt;&gt;"",E955&lt;&gt;""),D955*E955+IF(ISBLANK(F955),0,F955),"")</f>
        <v/>
      </c>
    </row>
    <row r="956">
      <c r="G956">
        <f>IF(AND(D956&lt;&gt;"",E956&lt;&gt;""),D956*E956+IF(ISBLANK(F956),0,F956),"")</f>
        <v/>
      </c>
    </row>
    <row r="957">
      <c r="G957">
        <f>IF(AND(D957&lt;&gt;"",E957&lt;&gt;""),D957*E957+IF(ISBLANK(F957),0,F957),"")</f>
        <v/>
      </c>
    </row>
    <row r="958">
      <c r="G958">
        <f>IF(AND(D958&lt;&gt;"",E958&lt;&gt;""),D958*E958+IF(ISBLANK(F958),0,F958),"")</f>
        <v/>
      </c>
    </row>
    <row r="959">
      <c r="G959">
        <f>IF(AND(D959&lt;&gt;"",E959&lt;&gt;""),D959*E959+IF(ISBLANK(F959),0,F959),"")</f>
        <v/>
      </c>
    </row>
    <row r="960">
      <c r="G960">
        <f>IF(AND(D960&lt;&gt;"",E960&lt;&gt;""),D960*E960+IF(ISBLANK(F960),0,F960),"")</f>
        <v/>
      </c>
    </row>
    <row r="961">
      <c r="G961">
        <f>IF(AND(D961&lt;&gt;"",E961&lt;&gt;""),D961*E961+IF(ISBLANK(F961),0,F961),"")</f>
        <v/>
      </c>
    </row>
    <row r="962">
      <c r="G962">
        <f>IF(AND(D962&lt;&gt;"",E962&lt;&gt;""),D962*E962+IF(ISBLANK(F962),0,F962),"")</f>
        <v/>
      </c>
    </row>
    <row r="963">
      <c r="G963">
        <f>IF(AND(D963&lt;&gt;"",E963&lt;&gt;""),D963*E963+IF(ISBLANK(F963),0,F963),"")</f>
        <v/>
      </c>
    </row>
    <row r="964">
      <c r="G964">
        <f>IF(AND(D964&lt;&gt;"",E964&lt;&gt;""),D964*E964+IF(ISBLANK(F964),0,F964),"")</f>
        <v/>
      </c>
    </row>
    <row r="965">
      <c r="G965">
        <f>IF(AND(D965&lt;&gt;"",E965&lt;&gt;""),D965*E965+IF(ISBLANK(F965),0,F965),"")</f>
        <v/>
      </c>
    </row>
    <row r="966">
      <c r="G966">
        <f>IF(AND(D966&lt;&gt;"",E966&lt;&gt;""),D966*E966+IF(ISBLANK(F966),0,F966),"")</f>
        <v/>
      </c>
    </row>
    <row r="967">
      <c r="G967">
        <f>IF(AND(D967&lt;&gt;"",E967&lt;&gt;""),D967*E967+IF(ISBLANK(F967),0,F967),"")</f>
        <v/>
      </c>
    </row>
    <row r="968">
      <c r="G968">
        <f>IF(AND(D968&lt;&gt;"",E968&lt;&gt;""),D968*E968+IF(ISBLANK(F968),0,F968),"")</f>
        <v/>
      </c>
    </row>
    <row r="969">
      <c r="G969">
        <f>IF(AND(D969&lt;&gt;"",E969&lt;&gt;""),D969*E969+IF(ISBLANK(F969),0,F969),"")</f>
        <v/>
      </c>
    </row>
    <row r="970">
      <c r="G970">
        <f>IF(AND(D970&lt;&gt;"",E970&lt;&gt;""),D970*E970+IF(ISBLANK(F970),0,F970),"")</f>
        <v/>
      </c>
    </row>
    <row r="971">
      <c r="G971">
        <f>IF(AND(D971&lt;&gt;"",E971&lt;&gt;""),D971*E971+IF(ISBLANK(F971),0,F971),"")</f>
        <v/>
      </c>
    </row>
    <row r="972">
      <c r="G972">
        <f>IF(AND(D972&lt;&gt;"",E972&lt;&gt;""),D972*E972+IF(ISBLANK(F972),0,F972),"")</f>
        <v/>
      </c>
    </row>
    <row r="973">
      <c r="G973">
        <f>IF(AND(D973&lt;&gt;"",E973&lt;&gt;""),D973*E973+IF(ISBLANK(F973),0,F973),"")</f>
        <v/>
      </c>
    </row>
    <row r="974">
      <c r="G974">
        <f>IF(AND(D974&lt;&gt;"",E974&lt;&gt;""),D974*E974+IF(ISBLANK(F974),0,F974),"")</f>
        <v/>
      </c>
    </row>
    <row r="975">
      <c r="G975">
        <f>IF(AND(D975&lt;&gt;"",E975&lt;&gt;""),D975*E975+IF(ISBLANK(F975),0,F975),"")</f>
        <v/>
      </c>
    </row>
    <row r="976">
      <c r="G976">
        <f>IF(AND(D976&lt;&gt;"",E976&lt;&gt;""),D976*E976+IF(ISBLANK(F976),0,F976),"")</f>
        <v/>
      </c>
    </row>
    <row r="977">
      <c r="G977">
        <f>IF(AND(D977&lt;&gt;"",E977&lt;&gt;""),D977*E977+IF(ISBLANK(F977),0,F977),"")</f>
        <v/>
      </c>
    </row>
    <row r="978">
      <c r="G978">
        <f>IF(AND(D978&lt;&gt;"",E978&lt;&gt;""),D978*E978+IF(ISBLANK(F978),0,F978),"")</f>
        <v/>
      </c>
    </row>
    <row r="979">
      <c r="G979">
        <f>IF(AND(D979&lt;&gt;"",E979&lt;&gt;""),D979*E979+IF(ISBLANK(F979),0,F979),"")</f>
        <v/>
      </c>
    </row>
    <row r="980">
      <c r="G980">
        <f>IF(AND(D980&lt;&gt;"",E980&lt;&gt;""),D980*E980+IF(ISBLANK(F980),0,F980),"")</f>
        <v/>
      </c>
    </row>
    <row r="981">
      <c r="G981">
        <f>IF(AND(D981&lt;&gt;"",E981&lt;&gt;""),D981*E981+IF(ISBLANK(F981),0,F981),"")</f>
        <v/>
      </c>
    </row>
    <row r="982">
      <c r="G982">
        <f>IF(AND(D982&lt;&gt;"",E982&lt;&gt;""),D982*E982+IF(ISBLANK(F982),0,F982),"")</f>
        <v/>
      </c>
    </row>
    <row r="983">
      <c r="G983">
        <f>IF(AND(D983&lt;&gt;"",E983&lt;&gt;""),D983*E983+IF(ISBLANK(F983),0,F983),"")</f>
        <v/>
      </c>
    </row>
    <row r="984">
      <c r="G984">
        <f>IF(AND(D984&lt;&gt;"",E984&lt;&gt;""),D984*E984+IF(ISBLANK(F984),0,F984),"")</f>
        <v/>
      </c>
    </row>
    <row r="985">
      <c r="G985">
        <f>IF(AND(D985&lt;&gt;"",E985&lt;&gt;""),D985*E985+IF(ISBLANK(F985),0,F985),"")</f>
        <v/>
      </c>
    </row>
    <row r="986">
      <c r="G986">
        <f>IF(AND(D986&lt;&gt;"",E986&lt;&gt;""),D986*E986+IF(ISBLANK(F986),0,F986),"")</f>
        <v/>
      </c>
    </row>
    <row r="987">
      <c r="G987">
        <f>IF(AND(D987&lt;&gt;"",E987&lt;&gt;""),D987*E987+IF(ISBLANK(F987),0,F987),"")</f>
        <v/>
      </c>
    </row>
    <row r="988">
      <c r="G988">
        <f>IF(AND(D988&lt;&gt;"",E988&lt;&gt;""),D988*E988+IF(ISBLANK(F988),0,F988),"")</f>
        <v/>
      </c>
    </row>
    <row r="989">
      <c r="G989">
        <f>IF(AND(D989&lt;&gt;"",E989&lt;&gt;""),D989*E989+IF(ISBLANK(F989),0,F989),"")</f>
        <v/>
      </c>
    </row>
    <row r="990">
      <c r="G990">
        <f>IF(AND(D990&lt;&gt;"",E990&lt;&gt;""),D990*E990+IF(ISBLANK(F990),0,F990),"")</f>
        <v/>
      </c>
    </row>
    <row r="991">
      <c r="G991">
        <f>IF(AND(D991&lt;&gt;"",E991&lt;&gt;""),D991*E991+IF(ISBLANK(F991),0,F991),"")</f>
        <v/>
      </c>
    </row>
    <row r="992">
      <c r="G992">
        <f>IF(AND(D992&lt;&gt;"",E992&lt;&gt;""),D992*E992+IF(ISBLANK(F992),0,F992),"")</f>
        <v/>
      </c>
    </row>
    <row r="993">
      <c r="G993">
        <f>IF(AND(D993&lt;&gt;"",E993&lt;&gt;""),D993*E993+IF(ISBLANK(F993),0,F993),"")</f>
        <v/>
      </c>
    </row>
    <row r="994">
      <c r="G994">
        <f>IF(AND(D994&lt;&gt;"",E994&lt;&gt;""),D994*E994+IF(ISBLANK(F994),0,F994),"")</f>
        <v/>
      </c>
    </row>
    <row r="995">
      <c r="G995">
        <f>IF(AND(D995&lt;&gt;"",E995&lt;&gt;""),D995*E995+IF(ISBLANK(F995),0,F995),"")</f>
        <v/>
      </c>
    </row>
    <row r="996">
      <c r="G996">
        <f>IF(AND(D996&lt;&gt;"",E996&lt;&gt;""),D996*E996+IF(ISBLANK(F996),0,F996),"")</f>
        <v/>
      </c>
    </row>
    <row r="997">
      <c r="G997">
        <f>IF(AND(D997&lt;&gt;"",E997&lt;&gt;""),D997*E997+IF(ISBLANK(F997),0,F997),"")</f>
        <v/>
      </c>
    </row>
    <row r="998">
      <c r="G998">
        <f>IF(AND(D998&lt;&gt;"",E998&lt;&gt;""),D998*E998+IF(ISBLANK(F998),0,F998),"")</f>
        <v/>
      </c>
    </row>
    <row r="999">
      <c r="G999">
        <f>IF(AND(D999&lt;&gt;"",E999&lt;&gt;""),D999*E999+IF(ISBLANK(F999),0,F999),"")</f>
        <v/>
      </c>
    </row>
    <row r="1000">
      <c r="G1000">
        <f>IF(AND(D1000&lt;&gt;"",E1000&lt;&gt;""),D1000*E1000+IF(ISBLANK(F1000),0,F1000),"")</f>
        <v/>
      </c>
    </row>
  </sheetData>
  <dataValidations count="1">
    <dataValidation sqref="C2:C1000" showDropDown="0" showInputMessage="0" showErrorMessage="0" allowBlank="0" errorTitle="Invalid Entry" error="Please select Buy or Sell" type="list">
      <formula1>"Buy,Sell"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5" customWidth="1" min="4" max="4"/>
    <col width="15" customWidth="1" min="5" max="5"/>
    <col width="18" customWidth="1" min="6" max="6"/>
    <col width="18" customWidth="1" min="7" max="7"/>
    <col width="18" customWidth="1" min="8" max="8"/>
    <col width="15" customWidth="1" min="9" max="9"/>
    <col width="15" customWidth="1" min="10" max="10"/>
  </cols>
  <sheetData>
    <row r="1">
      <c r="A1" s="6" t="inlineStr">
        <is>
          <t>Stock Name</t>
        </is>
      </c>
      <c r="B1" s="6" t="inlineStr">
        <is>
          <t>Buy Date</t>
        </is>
      </c>
      <c r="C1" s="6" t="inlineStr">
        <is>
          <t>Buy Qty</t>
        </is>
      </c>
      <c r="D1" s="6" t="inlineStr">
        <is>
          <t>Buy Price</t>
        </is>
      </c>
      <c r="E1" s="6" t="inlineStr">
        <is>
          <t>Total Value</t>
        </is>
      </c>
      <c r="F1" s="6" t="inlineStr">
        <is>
          <t>Cumulative Buy Qty</t>
        </is>
      </c>
      <c r="G1" s="6" t="inlineStr">
        <is>
          <t>Total Sold Qty</t>
        </is>
      </c>
      <c r="H1" s="6" t="inlineStr">
        <is>
          <t>Sold from this Lot</t>
        </is>
      </c>
      <c r="I1" s="6" t="inlineStr">
        <is>
          <t>Remaining Qty</t>
        </is>
      </c>
      <c r="J1" s="6" t="inlineStr">
        <is>
          <t>Remaining Value</t>
        </is>
      </c>
      <c r="L1" s="10" t="inlineStr">
        <is>
          <t>FIFO Engine - Auto-populated from Buy transactions</t>
        </is>
      </c>
    </row>
    <row r="2">
      <c r="A2">
        <f>IFERROR(INDEX(SORT(FILTER(Transactions!B$2:B$1000,(Transactions!C$2:C$1000="Buy")*(Transactions!B$2:B$1000&lt;&gt;"")),1,1),1),"")</f>
        <v/>
      </c>
      <c r="B2">
        <f>IF(A2="","",INDEX(SORT(FILTER(Transactions!A$2:G$1000,(Transactions!C$2:C$1000="Buy")*(Transactions!B$2:B$1000&lt;&gt;"")),2,1),1,1))</f>
        <v/>
      </c>
      <c r="C2">
        <f>IF(A2="","",INDEX(SORT(FILTER(Transactions!A$2:G$1000,(Transactions!C$2:C$1000="Buy")*(Transactions!B$2:B$1000&lt;&gt;"")),2,1),1,4))</f>
        <v/>
      </c>
      <c r="D2">
        <f>IF(A2="","",INDEX(SORT(FILTER(Transactions!A$2:G$1000,(Transactions!C$2:C$1000="Buy")*(Transactions!B$2:B$1000&lt;&gt;"")),2,1),1,5))</f>
        <v/>
      </c>
      <c r="E2">
        <f>IF(C2="","",C2*D2)</f>
        <v/>
      </c>
      <c r="F2">
        <f>IF(A2="","",SUMIFS(C:C,A:A,A2,B:B,"&lt;="&amp;B2))</f>
        <v/>
      </c>
      <c r="G2">
        <f>IF(A2="","",SUMIFS(Transactions!D:D,Transactions!B:B,A2,Transactions!C:C,"Sell"))</f>
        <v/>
      </c>
      <c r="H2">
        <f>IF(A2="","",MAX(0,MIN(C2,G2)))</f>
        <v/>
      </c>
      <c r="I2">
        <f>IF(C2="","",MAX(0,C2-H2))</f>
        <v/>
      </c>
      <c r="J2">
        <f>IF(I2="","",I2*D2)</f>
        <v/>
      </c>
      <c r="L2" s="11" t="inlineStr">
        <is>
          <t>This sheet automatically tracks which buy lots have been sold using FIFO method.</t>
        </is>
      </c>
    </row>
    <row r="3">
      <c r="A3">
        <f>IFERROR(INDEX(SORT(FILTER(Transactions!B$2:B$1000,(Transactions!C$2:C$1000="Buy")*(Transactions!B$2:B$1000&lt;&gt;"")),1,1),2),"")</f>
        <v/>
      </c>
      <c r="B3">
        <f>IF(A3="","",INDEX(SORT(FILTER(Transactions!A$2:G$1000,(Transactions!C$2:C$1000="Buy")*(Transactions!B$2:B$1000&lt;&gt;"")),2,1),2,1))</f>
        <v/>
      </c>
      <c r="C3">
        <f>IF(A3="","",INDEX(SORT(FILTER(Transactions!A$2:G$1000,(Transactions!C$2:C$1000="Buy")*(Transactions!B$2:B$1000&lt;&gt;"")),2,1),2,4))</f>
        <v/>
      </c>
      <c r="D3">
        <f>IF(A3="","",INDEX(SORT(FILTER(Transactions!A$2:G$1000,(Transactions!C$2:C$1000="Buy")*(Transactions!B$2:B$1000&lt;&gt;"")),2,1),2,5))</f>
        <v/>
      </c>
      <c r="E3">
        <f>IF(C3="","",C3*D3)</f>
        <v/>
      </c>
      <c r="F3">
        <f>IF(A3="","",SUMIFS(C:C,A:A,A3,B:B,"&lt;="&amp;B3))</f>
        <v/>
      </c>
      <c r="G3">
        <f>IF(A3="","",SUMIFS(Transactions!D:D,Transactions!B:B,A3,Transactions!C:C,"Sell"))</f>
        <v/>
      </c>
      <c r="H3">
        <f>IF(A3="","",IF(G3&lt;=0,0,MAX(0,MIN(C3,G3-SUMIFS(H$2:H$2,A$2:A$2,A3)))))</f>
        <v/>
      </c>
      <c r="I3">
        <f>IF(C3="","",MAX(0,C3-H3))</f>
        <v/>
      </c>
      <c r="J3">
        <f>IF(I3="","",I3*D3)</f>
        <v/>
      </c>
    </row>
    <row r="4">
      <c r="A4">
        <f>IFERROR(INDEX(SORT(FILTER(Transactions!B$2:B$1000,(Transactions!C$2:C$1000="Buy")*(Transactions!B$2:B$1000&lt;&gt;"")),1,1),3),"")</f>
        <v/>
      </c>
      <c r="B4">
        <f>IF(A4="","",INDEX(SORT(FILTER(Transactions!A$2:G$1000,(Transactions!C$2:C$1000="Buy")*(Transactions!B$2:B$1000&lt;&gt;"")),2,1),3,1))</f>
        <v/>
      </c>
      <c r="C4">
        <f>IF(A4="","",INDEX(SORT(FILTER(Transactions!A$2:G$1000,(Transactions!C$2:C$1000="Buy")*(Transactions!B$2:B$1000&lt;&gt;"")),2,1),3,4))</f>
        <v/>
      </c>
      <c r="D4">
        <f>IF(A4="","",INDEX(SORT(FILTER(Transactions!A$2:G$1000,(Transactions!C$2:C$1000="Buy")*(Transactions!B$2:B$1000&lt;&gt;"")),2,1),3,5))</f>
        <v/>
      </c>
      <c r="E4">
        <f>IF(C4="","",C4*D4)</f>
        <v/>
      </c>
      <c r="F4">
        <f>IF(A4="","",SUMIFS(C:C,A:A,A4,B:B,"&lt;="&amp;B4))</f>
        <v/>
      </c>
      <c r="G4">
        <f>IF(A4="","",SUMIFS(Transactions!D:D,Transactions!B:B,A4,Transactions!C:C,"Sell"))</f>
        <v/>
      </c>
      <c r="H4">
        <f>IF(A4="","",IF(G4&lt;=0,0,MAX(0,MIN(C4,G4-SUMIFS(H$2:H$3,A$2:A$3,A4)))))</f>
        <v/>
      </c>
      <c r="I4">
        <f>IF(C4="","",MAX(0,C4-H4))</f>
        <v/>
      </c>
      <c r="J4">
        <f>IF(I4="","",I4*D4)</f>
        <v/>
      </c>
      <c r="L4" s="12" t="inlineStr">
        <is>
          <t>How FIFO works here:</t>
        </is>
      </c>
    </row>
    <row r="5">
      <c r="A5">
        <f>IFERROR(INDEX(SORT(FILTER(Transactions!B$2:B$1000,(Transactions!C$2:C$1000="Buy")*(Transactions!B$2:B$1000&lt;&gt;"")),1,1),4),"")</f>
        <v/>
      </c>
      <c r="B5">
        <f>IF(A5="","",INDEX(SORT(FILTER(Transactions!A$2:G$1000,(Transactions!C$2:C$1000="Buy")*(Transactions!B$2:B$1000&lt;&gt;"")),2,1),4,1))</f>
        <v/>
      </c>
      <c r="C5">
        <f>IF(A5="","",INDEX(SORT(FILTER(Transactions!A$2:G$1000,(Transactions!C$2:C$1000="Buy")*(Transactions!B$2:B$1000&lt;&gt;"")),2,1),4,4))</f>
        <v/>
      </c>
      <c r="D5">
        <f>IF(A5="","",INDEX(SORT(FILTER(Transactions!A$2:G$1000,(Transactions!C$2:C$1000="Buy")*(Transactions!B$2:B$1000&lt;&gt;"")),2,1),4,5))</f>
        <v/>
      </c>
      <c r="E5">
        <f>IF(C5="","",C5*D5)</f>
        <v/>
      </c>
      <c r="F5">
        <f>IF(A5="","",SUMIFS(C:C,A:A,A5,B:B,"&lt;="&amp;B5))</f>
        <v/>
      </c>
      <c r="G5">
        <f>IF(A5="","",SUMIFS(Transactions!D:D,Transactions!B:B,A5,Transactions!C:C,"Sell"))</f>
        <v/>
      </c>
      <c r="H5">
        <f>IF(A5="","",IF(G5&lt;=0,0,MAX(0,MIN(C5,G5-SUMIFS(H$2:H$4,A$2:A$4,A5)))))</f>
        <v/>
      </c>
      <c r="I5">
        <f>IF(C5="","",MAX(0,C5-H5))</f>
        <v/>
      </c>
      <c r="J5">
        <f>IF(I5="","",I5*D5)</f>
        <v/>
      </c>
      <c r="L5" s="13" t="inlineStr">
        <is>
          <t>1. All Buy transactions are sorted by date</t>
        </is>
      </c>
    </row>
    <row r="6">
      <c r="A6">
        <f>IFERROR(INDEX(SORT(FILTER(Transactions!B$2:B$1000,(Transactions!C$2:C$1000="Buy")*(Transactions!B$2:B$1000&lt;&gt;"")),1,1),5),"")</f>
        <v/>
      </c>
      <c r="B6">
        <f>IF(A6="","",INDEX(SORT(FILTER(Transactions!A$2:G$1000,(Transactions!C$2:C$1000="Buy")*(Transactions!B$2:B$1000&lt;&gt;"")),2,1),5,1))</f>
        <v/>
      </c>
      <c r="C6">
        <f>IF(A6="","",INDEX(SORT(FILTER(Transactions!A$2:G$1000,(Transactions!C$2:C$1000="Buy")*(Transactions!B$2:B$1000&lt;&gt;"")),2,1),5,4))</f>
        <v/>
      </c>
      <c r="D6">
        <f>IF(A6="","",INDEX(SORT(FILTER(Transactions!A$2:G$1000,(Transactions!C$2:C$1000="Buy")*(Transactions!B$2:B$1000&lt;&gt;"")),2,1),5,5))</f>
        <v/>
      </c>
      <c r="E6">
        <f>IF(C6="","",C6*D6)</f>
        <v/>
      </c>
      <c r="F6">
        <f>IF(A6="","",SUMIFS(C:C,A:A,A6,B:B,"&lt;="&amp;B6))</f>
        <v/>
      </c>
      <c r="G6">
        <f>IF(A6="","",SUMIFS(Transactions!D:D,Transactions!B:B,A6,Transactions!C:C,"Sell"))</f>
        <v/>
      </c>
      <c r="H6">
        <f>IF(A6="","",IF(G6&lt;=0,0,MAX(0,MIN(C6,G6-SUMIFS(H$2:H$5,A$2:A$5,A6)))))</f>
        <v/>
      </c>
      <c r="I6">
        <f>IF(C6="","",MAX(0,C6-H6))</f>
        <v/>
      </c>
      <c r="J6">
        <f>IF(I6="","",I6*D6)</f>
        <v/>
      </c>
      <c r="L6" s="13" t="inlineStr">
        <is>
          <t>2. Sell transactions consume from oldest lots first</t>
        </is>
      </c>
    </row>
    <row r="7">
      <c r="A7">
        <f>IFERROR(INDEX(SORT(FILTER(Transactions!B$2:B$1000,(Transactions!C$2:C$1000="Buy")*(Transactions!B$2:B$1000&lt;&gt;"")),1,1),6),"")</f>
        <v/>
      </c>
      <c r="B7">
        <f>IF(A7="","",INDEX(SORT(FILTER(Transactions!A$2:G$1000,(Transactions!C$2:C$1000="Buy")*(Transactions!B$2:B$1000&lt;&gt;"")),2,1),6,1))</f>
        <v/>
      </c>
      <c r="C7">
        <f>IF(A7="","",INDEX(SORT(FILTER(Transactions!A$2:G$1000,(Transactions!C$2:C$1000="Buy")*(Transactions!B$2:B$1000&lt;&gt;"")),2,1),6,4))</f>
        <v/>
      </c>
      <c r="D7">
        <f>IF(A7="","",INDEX(SORT(FILTER(Transactions!A$2:G$1000,(Transactions!C$2:C$1000="Buy")*(Transactions!B$2:B$1000&lt;&gt;"")),2,1),6,5))</f>
        <v/>
      </c>
      <c r="E7">
        <f>IF(C7="","",C7*D7)</f>
        <v/>
      </c>
      <c r="F7">
        <f>IF(A7="","",SUMIFS(C:C,A:A,A7,B:B,"&lt;="&amp;B7))</f>
        <v/>
      </c>
      <c r="G7">
        <f>IF(A7="","",SUMIFS(Transactions!D:D,Transactions!B:B,A7,Transactions!C:C,"Sell"))</f>
        <v/>
      </c>
      <c r="H7">
        <f>IF(A7="","",IF(G7&lt;=0,0,MAX(0,MIN(C7,G7-SUMIFS(H$2:H$6,A$2:A$6,A7)))))</f>
        <v/>
      </c>
      <c r="I7">
        <f>IF(C7="","",MAX(0,C7-H7))</f>
        <v/>
      </c>
      <c r="J7">
        <f>IF(I7="","",I7*D7)</f>
        <v/>
      </c>
      <c r="L7" s="13" t="inlineStr">
        <is>
          <t>3. Remaining Qty shows unsold shares from each lot</t>
        </is>
      </c>
    </row>
    <row r="8">
      <c r="A8">
        <f>IFERROR(INDEX(SORT(FILTER(Transactions!B$2:B$1000,(Transactions!C$2:C$1000="Buy")*(Transactions!B$2:B$1000&lt;&gt;"")),1,1),7),"")</f>
        <v/>
      </c>
      <c r="B8">
        <f>IF(A8="","",INDEX(SORT(FILTER(Transactions!A$2:G$1000,(Transactions!C$2:C$1000="Buy")*(Transactions!B$2:B$1000&lt;&gt;"")),2,1),7,1))</f>
        <v/>
      </c>
      <c r="C8">
        <f>IF(A8="","",INDEX(SORT(FILTER(Transactions!A$2:G$1000,(Transactions!C$2:C$1000="Buy")*(Transactions!B$2:B$1000&lt;&gt;"")),2,1),7,4))</f>
        <v/>
      </c>
      <c r="D8">
        <f>IF(A8="","",INDEX(SORT(FILTER(Transactions!A$2:G$1000,(Transactions!C$2:C$1000="Buy")*(Transactions!B$2:B$1000&lt;&gt;"")),2,1),7,5))</f>
        <v/>
      </c>
      <c r="E8">
        <f>IF(C8="","",C8*D8)</f>
        <v/>
      </c>
      <c r="F8">
        <f>IF(A8="","",SUMIFS(C:C,A:A,A8,B:B,"&lt;="&amp;B8))</f>
        <v/>
      </c>
      <c r="G8">
        <f>IF(A8="","",SUMIFS(Transactions!D:D,Transactions!B:B,A8,Transactions!C:C,"Sell"))</f>
        <v/>
      </c>
      <c r="H8">
        <f>IF(A8="","",IF(G8&lt;=0,0,MAX(0,MIN(C8,G8-SUMIFS(H$2:H$7,A$2:A$7,A8)))))</f>
        <v/>
      </c>
      <c r="I8">
        <f>IF(C8="","",MAX(0,C8-H8))</f>
        <v/>
      </c>
      <c r="J8">
        <f>IF(I8="","",I8*D8)</f>
        <v/>
      </c>
      <c r="L8" s="13" t="inlineStr">
        <is>
          <t>4. Remaining Value = Remaining Qty × Original Buy Price</t>
        </is>
      </c>
    </row>
    <row r="9">
      <c r="A9">
        <f>IFERROR(INDEX(SORT(FILTER(Transactions!B$2:B$1000,(Transactions!C$2:C$1000="Buy")*(Transactions!B$2:B$1000&lt;&gt;"")),1,1),8),"")</f>
        <v/>
      </c>
      <c r="B9">
        <f>IF(A9="","",INDEX(SORT(FILTER(Transactions!A$2:G$1000,(Transactions!C$2:C$1000="Buy")*(Transactions!B$2:B$1000&lt;&gt;"")),2,1),8,1))</f>
        <v/>
      </c>
      <c r="C9">
        <f>IF(A9="","",INDEX(SORT(FILTER(Transactions!A$2:G$1000,(Transactions!C$2:C$1000="Buy")*(Transactions!B$2:B$1000&lt;&gt;"")),2,1),8,4))</f>
        <v/>
      </c>
      <c r="D9">
        <f>IF(A9="","",INDEX(SORT(FILTER(Transactions!A$2:G$1000,(Transactions!C$2:C$1000="Buy")*(Transactions!B$2:B$1000&lt;&gt;"")),2,1),8,5))</f>
        <v/>
      </c>
      <c r="E9">
        <f>IF(C9="","",C9*D9)</f>
        <v/>
      </c>
      <c r="F9">
        <f>IF(A9="","",SUMIFS(C:C,A:A,A9,B:B,"&lt;="&amp;B9))</f>
        <v/>
      </c>
      <c r="G9">
        <f>IF(A9="","",SUMIFS(Transactions!D:D,Transactions!B:B,A9,Transactions!C:C,"Sell"))</f>
        <v/>
      </c>
      <c r="H9">
        <f>IF(A9="","",IF(G9&lt;=0,0,MAX(0,MIN(C9,G9-SUMIFS(H$2:H$8,A$2:A$8,A9)))))</f>
        <v/>
      </c>
      <c r="I9">
        <f>IF(C9="","",MAX(0,C9-H9))</f>
        <v/>
      </c>
      <c r="J9">
        <f>IF(I9="","",I9*D9)</f>
        <v/>
      </c>
    </row>
    <row r="10">
      <c r="A10">
        <f>IFERROR(INDEX(SORT(FILTER(Transactions!B$2:B$1000,(Transactions!C$2:C$1000="Buy")*(Transactions!B$2:B$1000&lt;&gt;"")),1,1),9),"")</f>
        <v/>
      </c>
      <c r="B10">
        <f>IF(A10="","",INDEX(SORT(FILTER(Transactions!A$2:G$1000,(Transactions!C$2:C$1000="Buy")*(Transactions!B$2:B$1000&lt;&gt;"")),2,1),9,1))</f>
        <v/>
      </c>
      <c r="C10">
        <f>IF(A10="","",INDEX(SORT(FILTER(Transactions!A$2:G$1000,(Transactions!C$2:C$1000="Buy")*(Transactions!B$2:B$1000&lt;&gt;"")),2,1),9,4))</f>
        <v/>
      </c>
      <c r="D10">
        <f>IF(A10="","",INDEX(SORT(FILTER(Transactions!A$2:G$1000,(Transactions!C$2:C$1000="Buy")*(Transactions!B$2:B$1000&lt;&gt;"")),2,1),9,5))</f>
        <v/>
      </c>
      <c r="E10">
        <f>IF(C10="","",C10*D10)</f>
        <v/>
      </c>
      <c r="F10">
        <f>IF(A10="","",SUMIFS(C:C,A:A,A10,B:B,"&lt;="&amp;B10))</f>
        <v/>
      </c>
      <c r="G10">
        <f>IF(A10="","",SUMIFS(Transactions!D:D,Transactions!B:B,A10,Transactions!C:C,"Sell"))</f>
        <v/>
      </c>
      <c r="H10">
        <f>IF(A10="","",IF(G10&lt;=0,0,MAX(0,MIN(C10,G10-SUMIFS(H$2:H$9,A$2:A$9,A10)))))</f>
        <v/>
      </c>
      <c r="I10">
        <f>IF(C10="","",MAX(0,C10-H10))</f>
        <v/>
      </c>
      <c r="J10">
        <f>IF(I10="","",I10*D10)</f>
        <v/>
      </c>
    </row>
    <row r="11">
      <c r="A11">
        <f>IFERROR(INDEX(SORT(FILTER(Transactions!B$2:B$1000,(Transactions!C$2:C$1000="Buy")*(Transactions!B$2:B$1000&lt;&gt;"")),1,1),10),"")</f>
        <v/>
      </c>
      <c r="B11">
        <f>IF(A11="","",INDEX(SORT(FILTER(Transactions!A$2:G$1000,(Transactions!C$2:C$1000="Buy")*(Transactions!B$2:B$1000&lt;&gt;"")),2,1),10,1))</f>
        <v/>
      </c>
      <c r="C11">
        <f>IF(A11="","",INDEX(SORT(FILTER(Transactions!A$2:G$1000,(Transactions!C$2:C$1000="Buy")*(Transactions!B$2:B$1000&lt;&gt;"")),2,1),10,4))</f>
        <v/>
      </c>
      <c r="D11">
        <f>IF(A11="","",INDEX(SORT(FILTER(Transactions!A$2:G$1000,(Transactions!C$2:C$1000="Buy")*(Transactions!B$2:B$1000&lt;&gt;"")),2,1),10,5))</f>
        <v/>
      </c>
      <c r="E11">
        <f>IF(C11="","",C11*D11)</f>
        <v/>
      </c>
      <c r="F11">
        <f>IF(A11="","",SUMIFS(C:C,A:A,A11,B:B,"&lt;="&amp;B11))</f>
        <v/>
      </c>
      <c r="G11">
        <f>IF(A11="","",SUMIFS(Transactions!D:D,Transactions!B:B,A11,Transactions!C:C,"Sell"))</f>
        <v/>
      </c>
      <c r="H11">
        <f>IF(A11="","",IF(G11&lt;=0,0,MAX(0,MIN(C11,G11-SUMIFS(H$2:H$10,A$2:A$10,A11)))))</f>
        <v/>
      </c>
      <c r="I11">
        <f>IF(C11="","",MAX(0,C11-H11))</f>
        <v/>
      </c>
      <c r="J11">
        <f>IF(I11="","",I11*D11)</f>
        <v/>
      </c>
    </row>
    <row r="12">
      <c r="A12">
        <f>IFERROR(INDEX(SORT(FILTER(Transactions!B$2:B$1000,(Transactions!C$2:C$1000="Buy")*(Transactions!B$2:B$1000&lt;&gt;"")),1,1),11),"")</f>
        <v/>
      </c>
      <c r="B12">
        <f>IF(A12="","",INDEX(SORT(FILTER(Transactions!A$2:G$1000,(Transactions!C$2:C$1000="Buy")*(Transactions!B$2:B$1000&lt;&gt;"")),2,1),11,1))</f>
        <v/>
      </c>
      <c r="C12">
        <f>IF(A12="","",INDEX(SORT(FILTER(Transactions!A$2:G$1000,(Transactions!C$2:C$1000="Buy")*(Transactions!B$2:B$1000&lt;&gt;"")),2,1),11,4))</f>
        <v/>
      </c>
      <c r="D12">
        <f>IF(A12="","",INDEX(SORT(FILTER(Transactions!A$2:G$1000,(Transactions!C$2:C$1000="Buy")*(Transactions!B$2:B$1000&lt;&gt;"")),2,1),11,5))</f>
        <v/>
      </c>
      <c r="E12">
        <f>IF(C12="","",C12*D12)</f>
        <v/>
      </c>
      <c r="F12">
        <f>IF(A12="","",SUMIFS(C:C,A:A,A12,B:B,"&lt;="&amp;B12))</f>
        <v/>
      </c>
      <c r="G12">
        <f>IF(A12="","",SUMIFS(Transactions!D:D,Transactions!B:B,A12,Transactions!C:C,"Sell"))</f>
        <v/>
      </c>
      <c r="H12">
        <f>IF(A12="","",IF(G12&lt;=0,0,MAX(0,MIN(C12,G12-SUMIFS(H$2:H$11,A$2:A$11,A12)))))</f>
        <v/>
      </c>
      <c r="I12">
        <f>IF(C12="","",MAX(0,C12-H12))</f>
        <v/>
      </c>
      <c r="J12">
        <f>IF(I12="","",I12*D12)</f>
        <v/>
      </c>
    </row>
    <row r="13">
      <c r="A13">
        <f>IFERROR(INDEX(SORT(FILTER(Transactions!B$2:B$1000,(Transactions!C$2:C$1000="Buy")*(Transactions!B$2:B$1000&lt;&gt;"")),1,1),12),"")</f>
        <v/>
      </c>
      <c r="B13">
        <f>IF(A13="","",INDEX(SORT(FILTER(Transactions!A$2:G$1000,(Transactions!C$2:C$1000="Buy")*(Transactions!B$2:B$1000&lt;&gt;"")),2,1),12,1))</f>
        <v/>
      </c>
      <c r="C13">
        <f>IF(A13="","",INDEX(SORT(FILTER(Transactions!A$2:G$1000,(Transactions!C$2:C$1000="Buy")*(Transactions!B$2:B$1000&lt;&gt;"")),2,1),12,4))</f>
        <v/>
      </c>
      <c r="D13">
        <f>IF(A13="","",INDEX(SORT(FILTER(Transactions!A$2:G$1000,(Transactions!C$2:C$1000="Buy")*(Transactions!B$2:B$1000&lt;&gt;"")),2,1),12,5))</f>
        <v/>
      </c>
      <c r="E13">
        <f>IF(C13="","",C13*D13)</f>
        <v/>
      </c>
      <c r="F13">
        <f>IF(A13="","",SUMIFS(C:C,A:A,A13,B:B,"&lt;="&amp;B13))</f>
        <v/>
      </c>
      <c r="G13">
        <f>IF(A13="","",SUMIFS(Transactions!D:D,Transactions!B:B,A13,Transactions!C:C,"Sell"))</f>
        <v/>
      </c>
      <c r="H13">
        <f>IF(A13="","",IF(G13&lt;=0,0,MAX(0,MIN(C13,G13-SUMIFS(H$2:H$12,A$2:A$12,A13)))))</f>
        <v/>
      </c>
      <c r="I13">
        <f>IF(C13="","",MAX(0,C13-H13))</f>
        <v/>
      </c>
      <c r="J13">
        <f>IF(I13="","",I13*D13)</f>
        <v/>
      </c>
    </row>
    <row r="14">
      <c r="A14">
        <f>IFERROR(INDEX(SORT(FILTER(Transactions!B$2:B$1000,(Transactions!C$2:C$1000="Buy")*(Transactions!B$2:B$1000&lt;&gt;"")),1,1),13),"")</f>
        <v/>
      </c>
      <c r="B14">
        <f>IF(A14="","",INDEX(SORT(FILTER(Transactions!A$2:G$1000,(Transactions!C$2:C$1000="Buy")*(Transactions!B$2:B$1000&lt;&gt;"")),2,1),13,1))</f>
        <v/>
      </c>
      <c r="C14">
        <f>IF(A14="","",INDEX(SORT(FILTER(Transactions!A$2:G$1000,(Transactions!C$2:C$1000="Buy")*(Transactions!B$2:B$1000&lt;&gt;"")),2,1),13,4))</f>
        <v/>
      </c>
      <c r="D14">
        <f>IF(A14="","",INDEX(SORT(FILTER(Transactions!A$2:G$1000,(Transactions!C$2:C$1000="Buy")*(Transactions!B$2:B$1000&lt;&gt;"")),2,1),13,5))</f>
        <v/>
      </c>
      <c r="E14">
        <f>IF(C14="","",C14*D14)</f>
        <v/>
      </c>
      <c r="F14">
        <f>IF(A14="","",SUMIFS(C:C,A:A,A14,B:B,"&lt;="&amp;B14))</f>
        <v/>
      </c>
      <c r="G14">
        <f>IF(A14="","",SUMIFS(Transactions!D:D,Transactions!B:B,A14,Transactions!C:C,"Sell"))</f>
        <v/>
      </c>
      <c r="H14">
        <f>IF(A14="","",IF(G14&lt;=0,0,MAX(0,MIN(C14,G14-SUMIFS(H$2:H$13,A$2:A$13,A14)))))</f>
        <v/>
      </c>
      <c r="I14">
        <f>IF(C14="","",MAX(0,C14-H14))</f>
        <v/>
      </c>
      <c r="J14">
        <f>IF(I14="","",I14*D14)</f>
        <v/>
      </c>
    </row>
    <row r="15">
      <c r="A15">
        <f>IFERROR(INDEX(SORT(FILTER(Transactions!B$2:B$1000,(Transactions!C$2:C$1000="Buy")*(Transactions!B$2:B$1000&lt;&gt;"")),1,1),14),"")</f>
        <v/>
      </c>
      <c r="B15">
        <f>IF(A15="","",INDEX(SORT(FILTER(Transactions!A$2:G$1000,(Transactions!C$2:C$1000="Buy")*(Transactions!B$2:B$1000&lt;&gt;"")),2,1),14,1))</f>
        <v/>
      </c>
      <c r="C15">
        <f>IF(A15="","",INDEX(SORT(FILTER(Transactions!A$2:G$1000,(Transactions!C$2:C$1000="Buy")*(Transactions!B$2:B$1000&lt;&gt;"")),2,1),14,4))</f>
        <v/>
      </c>
      <c r="D15">
        <f>IF(A15="","",INDEX(SORT(FILTER(Transactions!A$2:G$1000,(Transactions!C$2:C$1000="Buy")*(Transactions!B$2:B$1000&lt;&gt;"")),2,1),14,5))</f>
        <v/>
      </c>
      <c r="E15">
        <f>IF(C15="","",C15*D15)</f>
        <v/>
      </c>
      <c r="F15">
        <f>IF(A15="","",SUMIFS(C:C,A:A,A15,B:B,"&lt;="&amp;B15))</f>
        <v/>
      </c>
      <c r="G15">
        <f>IF(A15="","",SUMIFS(Transactions!D:D,Transactions!B:B,A15,Transactions!C:C,"Sell"))</f>
        <v/>
      </c>
      <c r="H15">
        <f>IF(A15="","",IF(G15&lt;=0,0,MAX(0,MIN(C15,G15-SUMIFS(H$2:H$14,A$2:A$14,A15)))))</f>
        <v/>
      </c>
      <c r="I15">
        <f>IF(C15="","",MAX(0,C15-H15))</f>
        <v/>
      </c>
      <c r="J15">
        <f>IF(I15="","",I15*D15)</f>
        <v/>
      </c>
    </row>
    <row r="16">
      <c r="A16">
        <f>IFERROR(INDEX(SORT(FILTER(Transactions!B$2:B$1000,(Transactions!C$2:C$1000="Buy")*(Transactions!B$2:B$1000&lt;&gt;"")),1,1),15),"")</f>
        <v/>
      </c>
      <c r="B16">
        <f>IF(A16="","",INDEX(SORT(FILTER(Transactions!A$2:G$1000,(Transactions!C$2:C$1000="Buy")*(Transactions!B$2:B$1000&lt;&gt;"")),2,1),15,1))</f>
        <v/>
      </c>
      <c r="C16">
        <f>IF(A16="","",INDEX(SORT(FILTER(Transactions!A$2:G$1000,(Transactions!C$2:C$1000="Buy")*(Transactions!B$2:B$1000&lt;&gt;"")),2,1),15,4))</f>
        <v/>
      </c>
      <c r="D16">
        <f>IF(A16="","",INDEX(SORT(FILTER(Transactions!A$2:G$1000,(Transactions!C$2:C$1000="Buy")*(Transactions!B$2:B$1000&lt;&gt;"")),2,1),15,5))</f>
        <v/>
      </c>
      <c r="E16">
        <f>IF(C16="","",C16*D16)</f>
        <v/>
      </c>
      <c r="F16">
        <f>IF(A16="","",SUMIFS(C:C,A:A,A16,B:B,"&lt;="&amp;B16))</f>
        <v/>
      </c>
      <c r="G16">
        <f>IF(A16="","",SUMIFS(Transactions!D:D,Transactions!B:B,A16,Transactions!C:C,"Sell"))</f>
        <v/>
      </c>
      <c r="H16">
        <f>IF(A16="","",IF(G16&lt;=0,0,MAX(0,MIN(C16,G16-SUMIFS(H$2:H$15,A$2:A$15,A16)))))</f>
        <v/>
      </c>
      <c r="I16">
        <f>IF(C16="","",MAX(0,C16-H16))</f>
        <v/>
      </c>
      <c r="J16">
        <f>IF(I16="","",I16*D16)</f>
        <v/>
      </c>
    </row>
    <row r="17">
      <c r="A17">
        <f>IFERROR(INDEX(SORT(FILTER(Transactions!B$2:B$1000,(Transactions!C$2:C$1000="Buy")*(Transactions!B$2:B$1000&lt;&gt;"")),1,1),16),"")</f>
        <v/>
      </c>
      <c r="B17">
        <f>IF(A17="","",INDEX(SORT(FILTER(Transactions!A$2:G$1000,(Transactions!C$2:C$1000="Buy")*(Transactions!B$2:B$1000&lt;&gt;"")),2,1),16,1))</f>
        <v/>
      </c>
      <c r="C17">
        <f>IF(A17="","",INDEX(SORT(FILTER(Transactions!A$2:G$1000,(Transactions!C$2:C$1000="Buy")*(Transactions!B$2:B$1000&lt;&gt;"")),2,1),16,4))</f>
        <v/>
      </c>
      <c r="D17">
        <f>IF(A17="","",INDEX(SORT(FILTER(Transactions!A$2:G$1000,(Transactions!C$2:C$1000="Buy")*(Transactions!B$2:B$1000&lt;&gt;"")),2,1),16,5))</f>
        <v/>
      </c>
      <c r="E17">
        <f>IF(C17="","",C17*D17)</f>
        <v/>
      </c>
      <c r="F17">
        <f>IF(A17="","",SUMIFS(C:C,A:A,A17,B:B,"&lt;="&amp;B17))</f>
        <v/>
      </c>
      <c r="G17">
        <f>IF(A17="","",SUMIFS(Transactions!D:D,Transactions!B:B,A17,Transactions!C:C,"Sell"))</f>
        <v/>
      </c>
      <c r="H17">
        <f>IF(A17="","",IF(G17&lt;=0,0,MAX(0,MIN(C17,G17-SUMIFS(H$2:H$16,A$2:A$16,A17)))))</f>
        <v/>
      </c>
      <c r="I17">
        <f>IF(C17="","",MAX(0,C17-H17))</f>
        <v/>
      </c>
      <c r="J17">
        <f>IF(I17="","",I17*D17)</f>
        <v/>
      </c>
    </row>
    <row r="18">
      <c r="A18">
        <f>IFERROR(INDEX(SORT(FILTER(Transactions!B$2:B$1000,(Transactions!C$2:C$1000="Buy")*(Transactions!B$2:B$1000&lt;&gt;"")),1,1),17),"")</f>
        <v/>
      </c>
      <c r="B18">
        <f>IF(A18="","",INDEX(SORT(FILTER(Transactions!A$2:G$1000,(Transactions!C$2:C$1000="Buy")*(Transactions!B$2:B$1000&lt;&gt;"")),2,1),17,1))</f>
        <v/>
      </c>
      <c r="C18">
        <f>IF(A18="","",INDEX(SORT(FILTER(Transactions!A$2:G$1000,(Transactions!C$2:C$1000="Buy")*(Transactions!B$2:B$1000&lt;&gt;"")),2,1),17,4))</f>
        <v/>
      </c>
      <c r="D18">
        <f>IF(A18="","",INDEX(SORT(FILTER(Transactions!A$2:G$1000,(Transactions!C$2:C$1000="Buy")*(Transactions!B$2:B$1000&lt;&gt;"")),2,1),17,5))</f>
        <v/>
      </c>
      <c r="E18">
        <f>IF(C18="","",C18*D18)</f>
        <v/>
      </c>
      <c r="F18">
        <f>IF(A18="","",SUMIFS(C:C,A:A,A18,B:B,"&lt;="&amp;B18))</f>
        <v/>
      </c>
      <c r="G18">
        <f>IF(A18="","",SUMIFS(Transactions!D:D,Transactions!B:B,A18,Transactions!C:C,"Sell"))</f>
        <v/>
      </c>
      <c r="H18">
        <f>IF(A18="","",IF(G18&lt;=0,0,MAX(0,MIN(C18,G18-SUMIFS(H$2:H$17,A$2:A$17,A18)))))</f>
        <v/>
      </c>
      <c r="I18">
        <f>IF(C18="","",MAX(0,C18-H18))</f>
        <v/>
      </c>
      <c r="J18">
        <f>IF(I18="","",I18*D18)</f>
        <v/>
      </c>
    </row>
    <row r="19">
      <c r="A19">
        <f>IFERROR(INDEX(SORT(FILTER(Transactions!B$2:B$1000,(Transactions!C$2:C$1000="Buy")*(Transactions!B$2:B$1000&lt;&gt;"")),1,1),18),"")</f>
        <v/>
      </c>
      <c r="B19">
        <f>IF(A19="","",INDEX(SORT(FILTER(Transactions!A$2:G$1000,(Transactions!C$2:C$1000="Buy")*(Transactions!B$2:B$1000&lt;&gt;"")),2,1),18,1))</f>
        <v/>
      </c>
      <c r="C19">
        <f>IF(A19="","",INDEX(SORT(FILTER(Transactions!A$2:G$1000,(Transactions!C$2:C$1000="Buy")*(Transactions!B$2:B$1000&lt;&gt;"")),2,1),18,4))</f>
        <v/>
      </c>
      <c r="D19">
        <f>IF(A19="","",INDEX(SORT(FILTER(Transactions!A$2:G$1000,(Transactions!C$2:C$1000="Buy")*(Transactions!B$2:B$1000&lt;&gt;"")),2,1),18,5))</f>
        <v/>
      </c>
      <c r="E19">
        <f>IF(C19="","",C19*D19)</f>
        <v/>
      </c>
      <c r="F19">
        <f>IF(A19="","",SUMIFS(C:C,A:A,A19,B:B,"&lt;="&amp;B19))</f>
        <v/>
      </c>
      <c r="G19">
        <f>IF(A19="","",SUMIFS(Transactions!D:D,Transactions!B:B,A19,Transactions!C:C,"Sell"))</f>
        <v/>
      </c>
      <c r="H19">
        <f>IF(A19="","",IF(G19&lt;=0,0,MAX(0,MIN(C19,G19-SUMIFS(H$2:H$18,A$2:A$18,A19)))))</f>
        <v/>
      </c>
      <c r="I19">
        <f>IF(C19="","",MAX(0,C19-H19))</f>
        <v/>
      </c>
      <c r="J19">
        <f>IF(I19="","",I19*D19)</f>
        <v/>
      </c>
    </row>
    <row r="20">
      <c r="A20">
        <f>IFERROR(INDEX(SORT(FILTER(Transactions!B$2:B$1000,(Transactions!C$2:C$1000="Buy")*(Transactions!B$2:B$1000&lt;&gt;"")),1,1),19),"")</f>
        <v/>
      </c>
      <c r="B20">
        <f>IF(A20="","",INDEX(SORT(FILTER(Transactions!A$2:G$1000,(Transactions!C$2:C$1000="Buy")*(Transactions!B$2:B$1000&lt;&gt;"")),2,1),19,1))</f>
        <v/>
      </c>
      <c r="C20">
        <f>IF(A20="","",INDEX(SORT(FILTER(Transactions!A$2:G$1000,(Transactions!C$2:C$1000="Buy")*(Transactions!B$2:B$1000&lt;&gt;"")),2,1),19,4))</f>
        <v/>
      </c>
      <c r="D20">
        <f>IF(A20="","",INDEX(SORT(FILTER(Transactions!A$2:G$1000,(Transactions!C$2:C$1000="Buy")*(Transactions!B$2:B$1000&lt;&gt;"")),2,1),19,5))</f>
        <v/>
      </c>
      <c r="E20">
        <f>IF(C20="","",C20*D20)</f>
        <v/>
      </c>
      <c r="F20">
        <f>IF(A20="","",SUMIFS(C:C,A:A,A20,B:B,"&lt;="&amp;B20))</f>
        <v/>
      </c>
      <c r="G20">
        <f>IF(A20="","",SUMIFS(Transactions!D:D,Transactions!B:B,A20,Transactions!C:C,"Sell"))</f>
        <v/>
      </c>
      <c r="H20">
        <f>IF(A20="","",IF(G20&lt;=0,0,MAX(0,MIN(C20,G20-SUMIFS(H$2:H$19,A$2:A$19,A20)))))</f>
        <v/>
      </c>
      <c r="I20">
        <f>IF(C20="","",MAX(0,C20-H20))</f>
        <v/>
      </c>
      <c r="J20">
        <f>IF(I20="","",I20*D20)</f>
        <v/>
      </c>
    </row>
    <row r="21">
      <c r="A21">
        <f>IFERROR(INDEX(SORT(FILTER(Transactions!B$2:B$1000,(Transactions!C$2:C$1000="Buy")*(Transactions!B$2:B$1000&lt;&gt;"")),1,1),20),"")</f>
        <v/>
      </c>
      <c r="B21">
        <f>IF(A21="","",INDEX(SORT(FILTER(Transactions!A$2:G$1000,(Transactions!C$2:C$1000="Buy")*(Transactions!B$2:B$1000&lt;&gt;"")),2,1),20,1))</f>
        <v/>
      </c>
      <c r="C21">
        <f>IF(A21="","",INDEX(SORT(FILTER(Transactions!A$2:G$1000,(Transactions!C$2:C$1000="Buy")*(Transactions!B$2:B$1000&lt;&gt;"")),2,1),20,4))</f>
        <v/>
      </c>
      <c r="D21">
        <f>IF(A21="","",INDEX(SORT(FILTER(Transactions!A$2:G$1000,(Transactions!C$2:C$1000="Buy")*(Transactions!B$2:B$1000&lt;&gt;"")),2,1),20,5))</f>
        <v/>
      </c>
      <c r="E21">
        <f>IF(C21="","",C21*D21)</f>
        <v/>
      </c>
      <c r="F21">
        <f>IF(A21="","",SUMIFS(C:C,A:A,A21,B:B,"&lt;="&amp;B21))</f>
        <v/>
      </c>
      <c r="G21">
        <f>IF(A21="","",SUMIFS(Transactions!D:D,Transactions!B:B,A21,Transactions!C:C,"Sell"))</f>
        <v/>
      </c>
      <c r="H21">
        <f>IF(A21="","",IF(G21&lt;=0,0,MAX(0,MIN(C21,G21-SUMIFS(H$2:H$20,A$2:A$20,A21)))))</f>
        <v/>
      </c>
      <c r="I21">
        <f>IF(C21="","",MAX(0,C21-H21))</f>
        <v/>
      </c>
      <c r="J21">
        <f>IF(I21="","",I21*D21)</f>
        <v/>
      </c>
    </row>
    <row r="22">
      <c r="A22">
        <f>IFERROR(INDEX(SORT(FILTER(Transactions!B$2:B$1000,(Transactions!C$2:C$1000="Buy")*(Transactions!B$2:B$1000&lt;&gt;"")),1,1),21),"")</f>
        <v/>
      </c>
      <c r="B22">
        <f>IF(A22="","",INDEX(SORT(FILTER(Transactions!A$2:G$1000,(Transactions!C$2:C$1000="Buy")*(Transactions!B$2:B$1000&lt;&gt;"")),2,1),21,1))</f>
        <v/>
      </c>
      <c r="C22">
        <f>IF(A22="","",INDEX(SORT(FILTER(Transactions!A$2:G$1000,(Transactions!C$2:C$1000="Buy")*(Transactions!B$2:B$1000&lt;&gt;"")),2,1),21,4))</f>
        <v/>
      </c>
      <c r="D22">
        <f>IF(A22="","",INDEX(SORT(FILTER(Transactions!A$2:G$1000,(Transactions!C$2:C$1000="Buy")*(Transactions!B$2:B$1000&lt;&gt;"")),2,1),21,5))</f>
        <v/>
      </c>
      <c r="E22">
        <f>IF(C22="","",C22*D22)</f>
        <v/>
      </c>
      <c r="F22">
        <f>IF(A22="","",SUMIFS(C:C,A:A,A22,B:B,"&lt;="&amp;B22))</f>
        <v/>
      </c>
      <c r="G22">
        <f>IF(A22="","",SUMIFS(Transactions!D:D,Transactions!B:B,A22,Transactions!C:C,"Sell"))</f>
        <v/>
      </c>
      <c r="H22">
        <f>IF(A22="","",IF(G22&lt;=0,0,MAX(0,MIN(C22,G22-SUMIFS(H$2:H$21,A$2:A$21,A22)))))</f>
        <v/>
      </c>
      <c r="I22">
        <f>IF(C22="","",MAX(0,C22-H22))</f>
        <v/>
      </c>
      <c r="J22">
        <f>IF(I22="","",I22*D22)</f>
        <v/>
      </c>
    </row>
    <row r="23">
      <c r="A23">
        <f>IFERROR(INDEX(SORT(FILTER(Transactions!B$2:B$1000,(Transactions!C$2:C$1000="Buy")*(Transactions!B$2:B$1000&lt;&gt;"")),1,1),22),"")</f>
        <v/>
      </c>
      <c r="B23">
        <f>IF(A23="","",INDEX(SORT(FILTER(Transactions!A$2:G$1000,(Transactions!C$2:C$1000="Buy")*(Transactions!B$2:B$1000&lt;&gt;"")),2,1),22,1))</f>
        <v/>
      </c>
      <c r="C23">
        <f>IF(A23="","",INDEX(SORT(FILTER(Transactions!A$2:G$1000,(Transactions!C$2:C$1000="Buy")*(Transactions!B$2:B$1000&lt;&gt;"")),2,1),22,4))</f>
        <v/>
      </c>
      <c r="D23">
        <f>IF(A23="","",INDEX(SORT(FILTER(Transactions!A$2:G$1000,(Transactions!C$2:C$1000="Buy")*(Transactions!B$2:B$1000&lt;&gt;"")),2,1),22,5))</f>
        <v/>
      </c>
      <c r="E23">
        <f>IF(C23="","",C23*D23)</f>
        <v/>
      </c>
      <c r="F23">
        <f>IF(A23="","",SUMIFS(C:C,A:A,A23,B:B,"&lt;="&amp;B23))</f>
        <v/>
      </c>
      <c r="G23">
        <f>IF(A23="","",SUMIFS(Transactions!D:D,Transactions!B:B,A23,Transactions!C:C,"Sell"))</f>
        <v/>
      </c>
      <c r="H23">
        <f>IF(A23="","",IF(G23&lt;=0,0,MAX(0,MIN(C23,G23-SUMIFS(H$2:H$22,A$2:A$22,A23)))))</f>
        <v/>
      </c>
      <c r="I23">
        <f>IF(C23="","",MAX(0,C23-H23))</f>
        <v/>
      </c>
      <c r="J23">
        <f>IF(I23="","",I23*D23)</f>
        <v/>
      </c>
    </row>
    <row r="24">
      <c r="A24">
        <f>IFERROR(INDEX(SORT(FILTER(Transactions!B$2:B$1000,(Transactions!C$2:C$1000="Buy")*(Transactions!B$2:B$1000&lt;&gt;"")),1,1),23),"")</f>
        <v/>
      </c>
      <c r="B24">
        <f>IF(A24="","",INDEX(SORT(FILTER(Transactions!A$2:G$1000,(Transactions!C$2:C$1000="Buy")*(Transactions!B$2:B$1000&lt;&gt;"")),2,1),23,1))</f>
        <v/>
      </c>
      <c r="C24">
        <f>IF(A24="","",INDEX(SORT(FILTER(Transactions!A$2:G$1000,(Transactions!C$2:C$1000="Buy")*(Transactions!B$2:B$1000&lt;&gt;"")),2,1),23,4))</f>
        <v/>
      </c>
      <c r="D24">
        <f>IF(A24="","",INDEX(SORT(FILTER(Transactions!A$2:G$1000,(Transactions!C$2:C$1000="Buy")*(Transactions!B$2:B$1000&lt;&gt;"")),2,1),23,5))</f>
        <v/>
      </c>
      <c r="E24">
        <f>IF(C24="","",C24*D24)</f>
        <v/>
      </c>
      <c r="F24">
        <f>IF(A24="","",SUMIFS(C:C,A:A,A24,B:B,"&lt;="&amp;B24))</f>
        <v/>
      </c>
      <c r="G24">
        <f>IF(A24="","",SUMIFS(Transactions!D:D,Transactions!B:B,A24,Transactions!C:C,"Sell"))</f>
        <v/>
      </c>
      <c r="H24">
        <f>IF(A24="","",IF(G24&lt;=0,0,MAX(0,MIN(C24,G24-SUMIFS(H$2:H$23,A$2:A$23,A24)))))</f>
        <v/>
      </c>
      <c r="I24">
        <f>IF(C24="","",MAX(0,C24-H24))</f>
        <v/>
      </c>
      <c r="J24">
        <f>IF(I24="","",I24*D24)</f>
        <v/>
      </c>
    </row>
    <row r="25">
      <c r="A25">
        <f>IFERROR(INDEX(SORT(FILTER(Transactions!B$2:B$1000,(Transactions!C$2:C$1000="Buy")*(Transactions!B$2:B$1000&lt;&gt;"")),1,1),24),"")</f>
        <v/>
      </c>
      <c r="B25">
        <f>IF(A25="","",INDEX(SORT(FILTER(Transactions!A$2:G$1000,(Transactions!C$2:C$1000="Buy")*(Transactions!B$2:B$1000&lt;&gt;"")),2,1),24,1))</f>
        <v/>
      </c>
      <c r="C25">
        <f>IF(A25="","",INDEX(SORT(FILTER(Transactions!A$2:G$1000,(Transactions!C$2:C$1000="Buy")*(Transactions!B$2:B$1000&lt;&gt;"")),2,1),24,4))</f>
        <v/>
      </c>
      <c r="D25">
        <f>IF(A25="","",INDEX(SORT(FILTER(Transactions!A$2:G$1000,(Transactions!C$2:C$1000="Buy")*(Transactions!B$2:B$1000&lt;&gt;"")),2,1),24,5))</f>
        <v/>
      </c>
      <c r="E25">
        <f>IF(C25="","",C25*D25)</f>
        <v/>
      </c>
      <c r="F25">
        <f>IF(A25="","",SUMIFS(C:C,A:A,A25,B:B,"&lt;="&amp;B25))</f>
        <v/>
      </c>
      <c r="G25">
        <f>IF(A25="","",SUMIFS(Transactions!D:D,Transactions!B:B,A25,Transactions!C:C,"Sell"))</f>
        <v/>
      </c>
      <c r="H25">
        <f>IF(A25="","",IF(G25&lt;=0,0,MAX(0,MIN(C25,G25-SUMIFS(H$2:H$24,A$2:A$24,A25)))))</f>
        <v/>
      </c>
      <c r="I25">
        <f>IF(C25="","",MAX(0,C25-H25))</f>
        <v/>
      </c>
      <c r="J25">
        <f>IF(I25="","",I25*D25)</f>
        <v/>
      </c>
    </row>
    <row r="26">
      <c r="A26">
        <f>IFERROR(INDEX(SORT(FILTER(Transactions!B$2:B$1000,(Transactions!C$2:C$1000="Buy")*(Transactions!B$2:B$1000&lt;&gt;"")),1,1),25),"")</f>
        <v/>
      </c>
      <c r="B26">
        <f>IF(A26="","",INDEX(SORT(FILTER(Transactions!A$2:G$1000,(Transactions!C$2:C$1000="Buy")*(Transactions!B$2:B$1000&lt;&gt;"")),2,1),25,1))</f>
        <v/>
      </c>
      <c r="C26">
        <f>IF(A26="","",INDEX(SORT(FILTER(Transactions!A$2:G$1000,(Transactions!C$2:C$1000="Buy")*(Transactions!B$2:B$1000&lt;&gt;"")),2,1),25,4))</f>
        <v/>
      </c>
      <c r="D26">
        <f>IF(A26="","",INDEX(SORT(FILTER(Transactions!A$2:G$1000,(Transactions!C$2:C$1000="Buy")*(Transactions!B$2:B$1000&lt;&gt;"")),2,1),25,5))</f>
        <v/>
      </c>
      <c r="E26">
        <f>IF(C26="","",C26*D26)</f>
        <v/>
      </c>
      <c r="F26">
        <f>IF(A26="","",SUMIFS(C:C,A:A,A26,B:B,"&lt;="&amp;B26))</f>
        <v/>
      </c>
      <c r="G26">
        <f>IF(A26="","",SUMIFS(Transactions!D:D,Transactions!B:B,A26,Transactions!C:C,"Sell"))</f>
        <v/>
      </c>
      <c r="H26">
        <f>IF(A26="","",IF(G26&lt;=0,0,MAX(0,MIN(C26,G26-SUMIFS(H$2:H$25,A$2:A$25,A26)))))</f>
        <v/>
      </c>
      <c r="I26">
        <f>IF(C26="","",MAX(0,C26-H26))</f>
        <v/>
      </c>
      <c r="J26">
        <f>IF(I26="","",I26*D26)</f>
        <v/>
      </c>
    </row>
    <row r="27">
      <c r="A27">
        <f>IFERROR(INDEX(SORT(FILTER(Transactions!B$2:B$1000,(Transactions!C$2:C$1000="Buy")*(Transactions!B$2:B$1000&lt;&gt;"")),1,1),26),"")</f>
        <v/>
      </c>
      <c r="B27">
        <f>IF(A27="","",INDEX(SORT(FILTER(Transactions!A$2:G$1000,(Transactions!C$2:C$1000="Buy")*(Transactions!B$2:B$1000&lt;&gt;"")),2,1),26,1))</f>
        <v/>
      </c>
      <c r="C27">
        <f>IF(A27="","",INDEX(SORT(FILTER(Transactions!A$2:G$1000,(Transactions!C$2:C$1000="Buy")*(Transactions!B$2:B$1000&lt;&gt;"")),2,1),26,4))</f>
        <v/>
      </c>
      <c r="D27">
        <f>IF(A27="","",INDEX(SORT(FILTER(Transactions!A$2:G$1000,(Transactions!C$2:C$1000="Buy")*(Transactions!B$2:B$1000&lt;&gt;"")),2,1),26,5))</f>
        <v/>
      </c>
      <c r="E27">
        <f>IF(C27="","",C27*D27)</f>
        <v/>
      </c>
      <c r="F27">
        <f>IF(A27="","",SUMIFS(C:C,A:A,A27,B:B,"&lt;="&amp;B27))</f>
        <v/>
      </c>
      <c r="G27">
        <f>IF(A27="","",SUMIFS(Transactions!D:D,Transactions!B:B,A27,Transactions!C:C,"Sell"))</f>
        <v/>
      </c>
      <c r="H27">
        <f>IF(A27="","",IF(G27&lt;=0,0,MAX(0,MIN(C27,G27-SUMIFS(H$2:H$26,A$2:A$26,A27)))))</f>
        <v/>
      </c>
      <c r="I27">
        <f>IF(C27="","",MAX(0,C27-H27))</f>
        <v/>
      </c>
      <c r="J27">
        <f>IF(I27="","",I27*D27)</f>
        <v/>
      </c>
    </row>
    <row r="28">
      <c r="A28">
        <f>IFERROR(INDEX(SORT(FILTER(Transactions!B$2:B$1000,(Transactions!C$2:C$1000="Buy")*(Transactions!B$2:B$1000&lt;&gt;"")),1,1),27),"")</f>
        <v/>
      </c>
      <c r="B28">
        <f>IF(A28="","",INDEX(SORT(FILTER(Transactions!A$2:G$1000,(Transactions!C$2:C$1000="Buy")*(Transactions!B$2:B$1000&lt;&gt;"")),2,1),27,1))</f>
        <v/>
      </c>
      <c r="C28">
        <f>IF(A28="","",INDEX(SORT(FILTER(Transactions!A$2:G$1000,(Transactions!C$2:C$1000="Buy")*(Transactions!B$2:B$1000&lt;&gt;"")),2,1),27,4))</f>
        <v/>
      </c>
      <c r="D28">
        <f>IF(A28="","",INDEX(SORT(FILTER(Transactions!A$2:G$1000,(Transactions!C$2:C$1000="Buy")*(Transactions!B$2:B$1000&lt;&gt;"")),2,1),27,5))</f>
        <v/>
      </c>
      <c r="E28">
        <f>IF(C28="","",C28*D28)</f>
        <v/>
      </c>
      <c r="F28">
        <f>IF(A28="","",SUMIFS(C:C,A:A,A28,B:B,"&lt;="&amp;B28))</f>
        <v/>
      </c>
      <c r="G28">
        <f>IF(A28="","",SUMIFS(Transactions!D:D,Transactions!B:B,A28,Transactions!C:C,"Sell"))</f>
        <v/>
      </c>
      <c r="H28">
        <f>IF(A28="","",IF(G28&lt;=0,0,MAX(0,MIN(C28,G28-SUMIFS(H$2:H$27,A$2:A$27,A28)))))</f>
        <v/>
      </c>
      <c r="I28">
        <f>IF(C28="","",MAX(0,C28-H28))</f>
        <v/>
      </c>
      <c r="J28">
        <f>IF(I28="","",I28*D28)</f>
        <v/>
      </c>
    </row>
    <row r="29">
      <c r="A29">
        <f>IFERROR(INDEX(SORT(FILTER(Transactions!B$2:B$1000,(Transactions!C$2:C$1000="Buy")*(Transactions!B$2:B$1000&lt;&gt;"")),1,1),28),"")</f>
        <v/>
      </c>
      <c r="B29">
        <f>IF(A29="","",INDEX(SORT(FILTER(Transactions!A$2:G$1000,(Transactions!C$2:C$1000="Buy")*(Transactions!B$2:B$1000&lt;&gt;"")),2,1),28,1))</f>
        <v/>
      </c>
      <c r="C29">
        <f>IF(A29="","",INDEX(SORT(FILTER(Transactions!A$2:G$1000,(Transactions!C$2:C$1000="Buy")*(Transactions!B$2:B$1000&lt;&gt;"")),2,1),28,4))</f>
        <v/>
      </c>
      <c r="D29">
        <f>IF(A29="","",INDEX(SORT(FILTER(Transactions!A$2:G$1000,(Transactions!C$2:C$1000="Buy")*(Transactions!B$2:B$1000&lt;&gt;"")),2,1),28,5))</f>
        <v/>
      </c>
      <c r="E29">
        <f>IF(C29="","",C29*D29)</f>
        <v/>
      </c>
      <c r="F29">
        <f>IF(A29="","",SUMIFS(C:C,A:A,A29,B:B,"&lt;="&amp;B29))</f>
        <v/>
      </c>
      <c r="G29">
        <f>IF(A29="","",SUMIFS(Transactions!D:D,Transactions!B:B,A29,Transactions!C:C,"Sell"))</f>
        <v/>
      </c>
      <c r="H29">
        <f>IF(A29="","",IF(G29&lt;=0,0,MAX(0,MIN(C29,G29-SUMIFS(H$2:H$28,A$2:A$28,A29)))))</f>
        <v/>
      </c>
      <c r="I29">
        <f>IF(C29="","",MAX(0,C29-H29))</f>
        <v/>
      </c>
      <c r="J29">
        <f>IF(I29="","",I29*D29)</f>
        <v/>
      </c>
    </row>
    <row r="30">
      <c r="A30">
        <f>IFERROR(INDEX(SORT(FILTER(Transactions!B$2:B$1000,(Transactions!C$2:C$1000="Buy")*(Transactions!B$2:B$1000&lt;&gt;"")),1,1),29),"")</f>
        <v/>
      </c>
      <c r="B30">
        <f>IF(A30="","",INDEX(SORT(FILTER(Transactions!A$2:G$1000,(Transactions!C$2:C$1000="Buy")*(Transactions!B$2:B$1000&lt;&gt;"")),2,1),29,1))</f>
        <v/>
      </c>
      <c r="C30">
        <f>IF(A30="","",INDEX(SORT(FILTER(Transactions!A$2:G$1000,(Transactions!C$2:C$1000="Buy")*(Transactions!B$2:B$1000&lt;&gt;"")),2,1),29,4))</f>
        <v/>
      </c>
      <c r="D30">
        <f>IF(A30="","",INDEX(SORT(FILTER(Transactions!A$2:G$1000,(Transactions!C$2:C$1000="Buy")*(Transactions!B$2:B$1000&lt;&gt;"")),2,1),29,5))</f>
        <v/>
      </c>
      <c r="E30">
        <f>IF(C30="","",C30*D30)</f>
        <v/>
      </c>
      <c r="F30">
        <f>IF(A30="","",SUMIFS(C:C,A:A,A30,B:B,"&lt;="&amp;B30))</f>
        <v/>
      </c>
      <c r="G30">
        <f>IF(A30="","",SUMIFS(Transactions!D:D,Transactions!B:B,A30,Transactions!C:C,"Sell"))</f>
        <v/>
      </c>
      <c r="H30">
        <f>IF(A30="","",IF(G30&lt;=0,0,MAX(0,MIN(C30,G30-SUMIFS(H$2:H$29,A$2:A$29,A30)))))</f>
        <v/>
      </c>
      <c r="I30">
        <f>IF(C30="","",MAX(0,C30-H30))</f>
        <v/>
      </c>
      <c r="J30">
        <f>IF(I30="","",I30*D30)</f>
        <v/>
      </c>
    </row>
    <row r="31">
      <c r="A31">
        <f>IFERROR(INDEX(SORT(FILTER(Transactions!B$2:B$1000,(Transactions!C$2:C$1000="Buy")*(Transactions!B$2:B$1000&lt;&gt;"")),1,1),30),"")</f>
        <v/>
      </c>
      <c r="B31">
        <f>IF(A31="","",INDEX(SORT(FILTER(Transactions!A$2:G$1000,(Transactions!C$2:C$1000="Buy")*(Transactions!B$2:B$1000&lt;&gt;"")),2,1),30,1))</f>
        <v/>
      </c>
      <c r="C31">
        <f>IF(A31="","",INDEX(SORT(FILTER(Transactions!A$2:G$1000,(Transactions!C$2:C$1000="Buy")*(Transactions!B$2:B$1000&lt;&gt;"")),2,1),30,4))</f>
        <v/>
      </c>
      <c r="D31">
        <f>IF(A31="","",INDEX(SORT(FILTER(Transactions!A$2:G$1000,(Transactions!C$2:C$1000="Buy")*(Transactions!B$2:B$1000&lt;&gt;"")),2,1),30,5))</f>
        <v/>
      </c>
      <c r="E31">
        <f>IF(C31="","",C31*D31)</f>
        <v/>
      </c>
      <c r="F31">
        <f>IF(A31="","",SUMIFS(C:C,A:A,A31,B:B,"&lt;="&amp;B31))</f>
        <v/>
      </c>
      <c r="G31">
        <f>IF(A31="","",SUMIFS(Transactions!D:D,Transactions!B:B,A31,Transactions!C:C,"Sell"))</f>
        <v/>
      </c>
      <c r="H31">
        <f>IF(A31="","",IF(G31&lt;=0,0,MAX(0,MIN(C31,G31-SUMIFS(H$2:H$30,A$2:A$30,A31)))))</f>
        <v/>
      </c>
      <c r="I31">
        <f>IF(C31="","",MAX(0,C31-H31))</f>
        <v/>
      </c>
      <c r="J31">
        <f>IF(I31="","",I31*D31)</f>
        <v/>
      </c>
    </row>
    <row r="32">
      <c r="A32">
        <f>IFERROR(INDEX(SORT(FILTER(Transactions!B$2:B$1000,(Transactions!C$2:C$1000="Buy")*(Transactions!B$2:B$1000&lt;&gt;"")),1,1),31),"")</f>
        <v/>
      </c>
      <c r="B32">
        <f>IF(A32="","",INDEX(SORT(FILTER(Transactions!A$2:G$1000,(Transactions!C$2:C$1000="Buy")*(Transactions!B$2:B$1000&lt;&gt;"")),2,1),31,1))</f>
        <v/>
      </c>
      <c r="C32">
        <f>IF(A32="","",INDEX(SORT(FILTER(Transactions!A$2:G$1000,(Transactions!C$2:C$1000="Buy")*(Transactions!B$2:B$1000&lt;&gt;"")),2,1),31,4))</f>
        <v/>
      </c>
      <c r="D32">
        <f>IF(A32="","",INDEX(SORT(FILTER(Transactions!A$2:G$1000,(Transactions!C$2:C$1000="Buy")*(Transactions!B$2:B$1000&lt;&gt;"")),2,1),31,5))</f>
        <v/>
      </c>
      <c r="E32">
        <f>IF(C32="","",C32*D32)</f>
        <v/>
      </c>
      <c r="F32">
        <f>IF(A32="","",SUMIFS(C:C,A:A,A32,B:B,"&lt;="&amp;B32))</f>
        <v/>
      </c>
      <c r="G32">
        <f>IF(A32="","",SUMIFS(Transactions!D:D,Transactions!B:B,A32,Transactions!C:C,"Sell"))</f>
        <v/>
      </c>
      <c r="H32">
        <f>IF(A32="","",IF(G32&lt;=0,0,MAX(0,MIN(C32,G32-SUMIFS(H$2:H$31,A$2:A$31,A32)))))</f>
        <v/>
      </c>
      <c r="I32">
        <f>IF(C32="","",MAX(0,C32-H32))</f>
        <v/>
      </c>
      <c r="J32">
        <f>IF(I32="","",I32*D32)</f>
        <v/>
      </c>
    </row>
    <row r="33">
      <c r="A33">
        <f>IFERROR(INDEX(SORT(FILTER(Transactions!B$2:B$1000,(Transactions!C$2:C$1000="Buy")*(Transactions!B$2:B$1000&lt;&gt;"")),1,1),32),"")</f>
        <v/>
      </c>
      <c r="B33">
        <f>IF(A33="","",INDEX(SORT(FILTER(Transactions!A$2:G$1000,(Transactions!C$2:C$1000="Buy")*(Transactions!B$2:B$1000&lt;&gt;"")),2,1),32,1))</f>
        <v/>
      </c>
      <c r="C33">
        <f>IF(A33="","",INDEX(SORT(FILTER(Transactions!A$2:G$1000,(Transactions!C$2:C$1000="Buy")*(Transactions!B$2:B$1000&lt;&gt;"")),2,1),32,4))</f>
        <v/>
      </c>
      <c r="D33">
        <f>IF(A33="","",INDEX(SORT(FILTER(Transactions!A$2:G$1000,(Transactions!C$2:C$1000="Buy")*(Transactions!B$2:B$1000&lt;&gt;"")),2,1),32,5))</f>
        <v/>
      </c>
      <c r="E33">
        <f>IF(C33="","",C33*D33)</f>
        <v/>
      </c>
      <c r="F33">
        <f>IF(A33="","",SUMIFS(C:C,A:A,A33,B:B,"&lt;="&amp;B33))</f>
        <v/>
      </c>
      <c r="G33">
        <f>IF(A33="","",SUMIFS(Transactions!D:D,Transactions!B:B,A33,Transactions!C:C,"Sell"))</f>
        <v/>
      </c>
      <c r="H33">
        <f>IF(A33="","",IF(G33&lt;=0,0,MAX(0,MIN(C33,G33-SUMIFS(H$2:H$32,A$2:A$32,A33)))))</f>
        <v/>
      </c>
      <c r="I33">
        <f>IF(C33="","",MAX(0,C33-H33))</f>
        <v/>
      </c>
      <c r="J33">
        <f>IF(I33="","",I33*D33)</f>
        <v/>
      </c>
    </row>
    <row r="34">
      <c r="A34">
        <f>IFERROR(INDEX(SORT(FILTER(Transactions!B$2:B$1000,(Transactions!C$2:C$1000="Buy")*(Transactions!B$2:B$1000&lt;&gt;"")),1,1),33),"")</f>
        <v/>
      </c>
      <c r="B34">
        <f>IF(A34="","",INDEX(SORT(FILTER(Transactions!A$2:G$1000,(Transactions!C$2:C$1000="Buy")*(Transactions!B$2:B$1000&lt;&gt;"")),2,1),33,1))</f>
        <v/>
      </c>
      <c r="C34">
        <f>IF(A34="","",INDEX(SORT(FILTER(Transactions!A$2:G$1000,(Transactions!C$2:C$1000="Buy")*(Transactions!B$2:B$1000&lt;&gt;"")),2,1),33,4))</f>
        <v/>
      </c>
      <c r="D34">
        <f>IF(A34="","",INDEX(SORT(FILTER(Transactions!A$2:G$1000,(Transactions!C$2:C$1000="Buy")*(Transactions!B$2:B$1000&lt;&gt;"")),2,1),33,5))</f>
        <v/>
      </c>
      <c r="E34">
        <f>IF(C34="","",C34*D34)</f>
        <v/>
      </c>
      <c r="F34">
        <f>IF(A34="","",SUMIFS(C:C,A:A,A34,B:B,"&lt;="&amp;B34))</f>
        <v/>
      </c>
      <c r="G34">
        <f>IF(A34="","",SUMIFS(Transactions!D:D,Transactions!B:B,A34,Transactions!C:C,"Sell"))</f>
        <v/>
      </c>
      <c r="H34">
        <f>IF(A34="","",IF(G34&lt;=0,0,MAX(0,MIN(C34,G34-SUMIFS(H$2:H$33,A$2:A$33,A34)))))</f>
        <v/>
      </c>
      <c r="I34">
        <f>IF(C34="","",MAX(0,C34-H34))</f>
        <v/>
      </c>
      <c r="J34">
        <f>IF(I34="","",I34*D34)</f>
        <v/>
      </c>
    </row>
    <row r="35">
      <c r="A35">
        <f>IFERROR(INDEX(SORT(FILTER(Transactions!B$2:B$1000,(Transactions!C$2:C$1000="Buy")*(Transactions!B$2:B$1000&lt;&gt;"")),1,1),34),"")</f>
        <v/>
      </c>
      <c r="B35">
        <f>IF(A35="","",INDEX(SORT(FILTER(Transactions!A$2:G$1000,(Transactions!C$2:C$1000="Buy")*(Transactions!B$2:B$1000&lt;&gt;"")),2,1),34,1))</f>
        <v/>
      </c>
      <c r="C35">
        <f>IF(A35="","",INDEX(SORT(FILTER(Transactions!A$2:G$1000,(Transactions!C$2:C$1000="Buy")*(Transactions!B$2:B$1000&lt;&gt;"")),2,1),34,4))</f>
        <v/>
      </c>
      <c r="D35">
        <f>IF(A35="","",INDEX(SORT(FILTER(Transactions!A$2:G$1000,(Transactions!C$2:C$1000="Buy")*(Transactions!B$2:B$1000&lt;&gt;"")),2,1),34,5))</f>
        <v/>
      </c>
      <c r="E35">
        <f>IF(C35="","",C35*D35)</f>
        <v/>
      </c>
      <c r="F35">
        <f>IF(A35="","",SUMIFS(C:C,A:A,A35,B:B,"&lt;="&amp;B35))</f>
        <v/>
      </c>
      <c r="G35">
        <f>IF(A35="","",SUMIFS(Transactions!D:D,Transactions!B:B,A35,Transactions!C:C,"Sell"))</f>
        <v/>
      </c>
      <c r="H35">
        <f>IF(A35="","",IF(G35&lt;=0,0,MAX(0,MIN(C35,G35-SUMIFS(H$2:H$34,A$2:A$34,A35)))))</f>
        <v/>
      </c>
      <c r="I35">
        <f>IF(C35="","",MAX(0,C35-H35))</f>
        <v/>
      </c>
      <c r="J35">
        <f>IF(I35="","",I35*D35)</f>
        <v/>
      </c>
    </row>
    <row r="36">
      <c r="A36">
        <f>IFERROR(INDEX(SORT(FILTER(Transactions!B$2:B$1000,(Transactions!C$2:C$1000="Buy")*(Transactions!B$2:B$1000&lt;&gt;"")),1,1),35),"")</f>
        <v/>
      </c>
      <c r="B36">
        <f>IF(A36="","",INDEX(SORT(FILTER(Transactions!A$2:G$1000,(Transactions!C$2:C$1000="Buy")*(Transactions!B$2:B$1000&lt;&gt;"")),2,1),35,1))</f>
        <v/>
      </c>
      <c r="C36">
        <f>IF(A36="","",INDEX(SORT(FILTER(Transactions!A$2:G$1000,(Transactions!C$2:C$1000="Buy")*(Transactions!B$2:B$1000&lt;&gt;"")),2,1),35,4))</f>
        <v/>
      </c>
      <c r="D36">
        <f>IF(A36="","",INDEX(SORT(FILTER(Transactions!A$2:G$1000,(Transactions!C$2:C$1000="Buy")*(Transactions!B$2:B$1000&lt;&gt;"")),2,1),35,5))</f>
        <v/>
      </c>
      <c r="E36">
        <f>IF(C36="","",C36*D36)</f>
        <v/>
      </c>
      <c r="F36">
        <f>IF(A36="","",SUMIFS(C:C,A:A,A36,B:B,"&lt;="&amp;B36))</f>
        <v/>
      </c>
      <c r="G36">
        <f>IF(A36="","",SUMIFS(Transactions!D:D,Transactions!B:B,A36,Transactions!C:C,"Sell"))</f>
        <v/>
      </c>
      <c r="H36">
        <f>IF(A36="","",IF(G36&lt;=0,0,MAX(0,MIN(C36,G36-SUMIFS(H$2:H$35,A$2:A$35,A36)))))</f>
        <v/>
      </c>
      <c r="I36">
        <f>IF(C36="","",MAX(0,C36-H36))</f>
        <v/>
      </c>
      <c r="J36">
        <f>IF(I36="","",I36*D36)</f>
        <v/>
      </c>
    </row>
    <row r="37">
      <c r="A37">
        <f>IFERROR(INDEX(SORT(FILTER(Transactions!B$2:B$1000,(Transactions!C$2:C$1000="Buy")*(Transactions!B$2:B$1000&lt;&gt;"")),1,1),36),"")</f>
        <v/>
      </c>
      <c r="B37">
        <f>IF(A37="","",INDEX(SORT(FILTER(Transactions!A$2:G$1000,(Transactions!C$2:C$1000="Buy")*(Transactions!B$2:B$1000&lt;&gt;"")),2,1),36,1))</f>
        <v/>
      </c>
      <c r="C37">
        <f>IF(A37="","",INDEX(SORT(FILTER(Transactions!A$2:G$1000,(Transactions!C$2:C$1000="Buy")*(Transactions!B$2:B$1000&lt;&gt;"")),2,1),36,4))</f>
        <v/>
      </c>
      <c r="D37">
        <f>IF(A37="","",INDEX(SORT(FILTER(Transactions!A$2:G$1000,(Transactions!C$2:C$1000="Buy")*(Transactions!B$2:B$1000&lt;&gt;"")),2,1),36,5))</f>
        <v/>
      </c>
      <c r="E37">
        <f>IF(C37="","",C37*D37)</f>
        <v/>
      </c>
      <c r="F37">
        <f>IF(A37="","",SUMIFS(C:C,A:A,A37,B:B,"&lt;="&amp;B37))</f>
        <v/>
      </c>
      <c r="G37">
        <f>IF(A37="","",SUMIFS(Transactions!D:D,Transactions!B:B,A37,Transactions!C:C,"Sell"))</f>
        <v/>
      </c>
      <c r="H37">
        <f>IF(A37="","",IF(G37&lt;=0,0,MAX(0,MIN(C37,G37-SUMIFS(H$2:H$36,A$2:A$36,A37)))))</f>
        <v/>
      </c>
      <c r="I37">
        <f>IF(C37="","",MAX(0,C37-H37))</f>
        <v/>
      </c>
      <c r="J37">
        <f>IF(I37="","",I37*D37)</f>
        <v/>
      </c>
    </row>
    <row r="38">
      <c r="A38">
        <f>IFERROR(INDEX(SORT(FILTER(Transactions!B$2:B$1000,(Transactions!C$2:C$1000="Buy")*(Transactions!B$2:B$1000&lt;&gt;"")),1,1),37),"")</f>
        <v/>
      </c>
      <c r="B38">
        <f>IF(A38="","",INDEX(SORT(FILTER(Transactions!A$2:G$1000,(Transactions!C$2:C$1000="Buy")*(Transactions!B$2:B$1000&lt;&gt;"")),2,1),37,1))</f>
        <v/>
      </c>
      <c r="C38">
        <f>IF(A38="","",INDEX(SORT(FILTER(Transactions!A$2:G$1000,(Transactions!C$2:C$1000="Buy")*(Transactions!B$2:B$1000&lt;&gt;"")),2,1),37,4))</f>
        <v/>
      </c>
      <c r="D38">
        <f>IF(A38="","",INDEX(SORT(FILTER(Transactions!A$2:G$1000,(Transactions!C$2:C$1000="Buy")*(Transactions!B$2:B$1000&lt;&gt;"")),2,1),37,5))</f>
        <v/>
      </c>
      <c r="E38">
        <f>IF(C38="","",C38*D38)</f>
        <v/>
      </c>
      <c r="F38">
        <f>IF(A38="","",SUMIFS(C:C,A:A,A38,B:B,"&lt;="&amp;B38))</f>
        <v/>
      </c>
      <c r="G38">
        <f>IF(A38="","",SUMIFS(Transactions!D:D,Transactions!B:B,A38,Transactions!C:C,"Sell"))</f>
        <v/>
      </c>
      <c r="H38">
        <f>IF(A38="","",IF(G38&lt;=0,0,MAX(0,MIN(C38,G38-SUMIFS(H$2:H$37,A$2:A$37,A38)))))</f>
        <v/>
      </c>
      <c r="I38">
        <f>IF(C38="","",MAX(0,C38-H38))</f>
        <v/>
      </c>
      <c r="J38">
        <f>IF(I38="","",I38*D38)</f>
        <v/>
      </c>
    </row>
    <row r="39">
      <c r="A39">
        <f>IFERROR(INDEX(SORT(FILTER(Transactions!B$2:B$1000,(Transactions!C$2:C$1000="Buy")*(Transactions!B$2:B$1000&lt;&gt;"")),1,1),38),"")</f>
        <v/>
      </c>
      <c r="B39">
        <f>IF(A39="","",INDEX(SORT(FILTER(Transactions!A$2:G$1000,(Transactions!C$2:C$1000="Buy")*(Transactions!B$2:B$1000&lt;&gt;"")),2,1),38,1))</f>
        <v/>
      </c>
      <c r="C39">
        <f>IF(A39="","",INDEX(SORT(FILTER(Transactions!A$2:G$1000,(Transactions!C$2:C$1000="Buy")*(Transactions!B$2:B$1000&lt;&gt;"")),2,1),38,4))</f>
        <v/>
      </c>
      <c r="D39">
        <f>IF(A39="","",INDEX(SORT(FILTER(Transactions!A$2:G$1000,(Transactions!C$2:C$1000="Buy")*(Transactions!B$2:B$1000&lt;&gt;"")),2,1),38,5))</f>
        <v/>
      </c>
      <c r="E39">
        <f>IF(C39="","",C39*D39)</f>
        <v/>
      </c>
      <c r="F39">
        <f>IF(A39="","",SUMIFS(C:C,A:A,A39,B:B,"&lt;="&amp;B39))</f>
        <v/>
      </c>
      <c r="G39">
        <f>IF(A39="","",SUMIFS(Transactions!D:D,Transactions!B:B,A39,Transactions!C:C,"Sell"))</f>
        <v/>
      </c>
      <c r="H39">
        <f>IF(A39="","",IF(G39&lt;=0,0,MAX(0,MIN(C39,G39-SUMIFS(H$2:H$38,A$2:A$38,A39)))))</f>
        <v/>
      </c>
      <c r="I39">
        <f>IF(C39="","",MAX(0,C39-H39))</f>
        <v/>
      </c>
      <c r="J39">
        <f>IF(I39="","",I39*D39)</f>
        <v/>
      </c>
    </row>
    <row r="40">
      <c r="A40">
        <f>IFERROR(INDEX(SORT(FILTER(Transactions!B$2:B$1000,(Transactions!C$2:C$1000="Buy")*(Transactions!B$2:B$1000&lt;&gt;"")),1,1),39),"")</f>
        <v/>
      </c>
      <c r="B40">
        <f>IF(A40="","",INDEX(SORT(FILTER(Transactions!A$2:G$1000,(Transactions!C$2:C$1000="Buy")*(Transactions!B$2:B$1000&lt;&gt;"")),2,1),39,1))</f>
        <v/>
      </c>
      <c r="C40">
        <f>IF(A40="","",INDEX(SORT(FILTER(Transactions!A$2:G$1000,(Transactions!C$2:C$1000="Buy")*(Transactions!B$2:B$1000&lt;&gt;"")),2,1),39,4))</f>
        <v/>
      </c>
      <c r="D40">
        <f>IF(A40="","",INDEX(SORT(FILTER(Transactions!A$2:G$1000,(Transactions!C$2:C$1000="Buy")*(Transactions!B$2:B$1000&lt;&gt;"")),2,1),39,5))</f>
        <v/>
      </c>
      <c r="E40">
        <f>IF(C40="","",C40*D40)</f>
        <v/>
      </c>
      <c r="F40">
        <f>IF(A40="","",SUMIFS(C:C,A:A,A40,B:B,"&lt;="&amp;B40))</f>
        <v/>
      </c>
      <c r="G40">
        <f>IF(A40="","",SUMIFS(Transactions!D:D,Transactions!B:B,A40,Transactions!C:C,"Sell"))</f>
        <v/>
      </c>
      <c r="H40">
        <f>IF(A40="","",IF(G40&lt;=0,0,MAX(0,MIN(C40,G40-SUMIFS(H$2:H$39,A$2:A$39,A40)))))</f>
        <v/>
      </c>
      <c r="I40">
        <f>IF(C40="","",MAX(0,C40-H40))</f>
        <v/>
      </c>
      <c r="J40">
        <f>IF(I40="","",I40*D40)</f>
        <v/>
      </c>
    </row>
    <row r="41">
      <c r="A41">
        <f>IFERROR(INDEX(SORT(FILTER(Transactions!B$2:B$1000,(Transactions!C$2:C$1000="Buy")*(Transactions!B$2:B$1000&lt;&gt;"")),1,1),40),"")</f>
        <v/>
      </c>
      <c r="B41">
        <f>IF(A41="","",INDEX(SORT(FILTER(Transactions!A$2:G$1000,(Transactions!C$2:C$1000="Buy")*(Transactions!B$2:B$1000&lt;&gt;"")),2,1),40,1))</f>
        <v/>
      </c>
      <c r="C41">
        <f>IF(A41="","",INDEX(SORT(FILTER(Transactions!A$2:G$1000,(Transactions!C$2:C$1000="Buy")*(Transactions!B$2:B$1000&lt;&gt;"")),2,1),40,4))</f>
        <v/>
      </c>
      <c r="D41">
        <f>IF(A41="","",INDEX(SORT(FILTER(Transactions!A$2:G$1000,(Transactions!C$2:C$1000="Buy")*(Transactions!B$2:B$1000&lt;&gt;"")),2,1),40,5))</f>
        <v/>
      </c>
      <c r="E41">
        <f>IF(C41="","",C41*D41)</f>
        <v/>
      </c>
      <c r="F41">
        <f>IF(A41="","",SUMIFS(C:C,A:A,A41,B:B,"&lt;="&amp;B41))</f>
        <v/>
      </c>
      <c r="G41">
        <f>IF(A41="","",SUMIFS(Transactions!D:D,Transactions!B:B,A41,Transactions!C:C,"Sell"))</f>
        <v/>
      </c>
      <c r="H41">
        <f>IF(A41="","",IF(G41&lt;=0,0,MAX(0,MIN(C41,G41-SUMIFS(H$2:H$40,A$2:A$40,A41)))))</f>
        <v/>
      </c>
      <c r="I41">
        <f>IF(C41="","",MAX(0,C41-H41))</f>
        <v/>
      </c>
      <c r="J41">
        <f>IF(I41="","",I41*D41)</f>
        <v/>
      </c>
    </row>
    <row r="42">
      <c r="A42">
        <f>IFERROR(INDEX(SORT(FILTER(Transactions!B$2:B$1000,(Transactions!C$2:C$1000="Buy")*(Transactions!B$2:B$1000&lt;&gt;"")),1,1),41),"")</f>
        <v/>
      </c>
      <c r="B42">
        <f>IF(A42="","",INDEX(SORT(FILTER(Transactions!A$2:G$1000,(Transactions!C$2:C$1000="Buy")*(Transactions!B$2:B$1000&lt;&gt;"")),2,1),41,1))</f>
        <v/>
      </c>
      <c r="C42">
        <f>IF(A42="","",INDEX(SORT(FILTER(Transactions!A$2:G$1000,(Transactions!C$2:C$1000="Buy")*(Transactions!B$2:B$1000&lt;&gt;"")),2,1),41,4))</f>
        <v/>
      </c>
      <c r="D42">
        <f>IF(A42="","",INDEX(SORT(FILTER(Transactions!A$2:G$1000,(Transactions!C$2:C$1000="Buy")*(Transactions!B$2:B$1000&lt;&gt;"")),2,1),41,5))</f>
        <v/>
      </c>
      <c r="E42">
        <f>IF(C42="","",C42*D42)</f>
        <v/>
      </c>
      <c r="F42">
        <f>IF(A42="","",SUMIFS(C:C,A:A,A42,B:B,"&lt;="&amp;B42))</f>
        <v/>
      </c>
      <c r="G42">
        <f>IF(A42="","",SUMIFS(Transactions!D:D,Transactions!B:B,A42,Transactions!C:C,"Sell"))</f>
        <v/>
      </c>
      <c r="H42">
        <f>IF(A42="","",IF(G42&lt;=0,0,MAX(0,MIN(C42,G42-SUMIFS(H$2:H$41,A$2:A$41,A42)))))</f>
        <v/>
      </c>
      <c r="I42">
        <f>IF(C42="","",MAX(0,C42-H42))</f>
        <v/>
      </c>
      <c r="J42">
        <f>IF(I42="","",I42*D42)</f>
        <v/>
      </c>
    </row>
    <row r="43">
      <c r="A43">
        <f>IFERROR(INDEX(SORT(FILTER(Transactions!B$2:B$1000,(Transactions!C$2:C$1000="Buy")*(Transactions!B$2:B$1000&lt;&gt;"")),1,1),42),"")</f>
        <v/>
      </c>
      <c r="B43">
        <f>IF(A43="","",INDEX(SORT(FILTER(Transactions!A$2:G$1000,(Transactions!C$2:C$1000="Buy")*(Transactions!B$2:B$1000&lt;&gt;"")),2,1),42,1))</f>
        <v/>
      </c>
      <c r="C43">
        <f>IF(A43="","",INDEX(SORT(FILTER(Transactions!A$2:G$1000,(Transactions!C$2:C$1000="Buy")*(Transactions!B$2:B$1000&lt;&gt;"")),2,1),42,4))</f>
        <v/>
      </c>
      <c r="D43">
        <f>IF(A43="","",INDEX(SORT(FILTER(Transactions!A$2:G$1000,(Transactions!C$2:C$1000="Buy")*(Transactions!B$2:B$1000&lt;&gt;"")),2,1),42,5))</f>
        <v/>
      </c>
      <c r="E43">
        <f>IF(C43="","",C43*D43)</f>
        <v/>
      </c>
      <c r="F43">
        <f>IF(A43="","",SUMIFS(C:C,A:A,A43,B:B,"&lt;="&amp;B43))</f>
        <v/>
      </c>
      <c r="G43">
        <f>IF(A43="","",SUMIFS(Transactions!D:D,Transactions!B:B,A43,Transactions!C:C,"Sell"))</f>
        <v/>
      </c>
      <c r="H43">
        <f>IF(A43="","",IF(G43&lt;=0,0,MAX(0,MIN(C43,G43-SUMIFS(H$2:H$42,A$2:A$42,A43)))))</f>
        <v/>
      </c>
      <c r="I43">
        <f>IF(C43="","",MAX(0,C43-H43))</f>
        <v/>
      </c>
      <c r="J43">
        <f>IF(I43="","",I43*D43)</f>
        <v/>
      </c>
    </row>
    <row r="44">
      <c r="A44">
        <f>IFERROR(INDEX(SORT(FILTER(Transactions!B$2:B$1000,(Transactions!C$2:C$1000="Buy")*(Transactions!B$2:B$1000&lt;&gt;"")),1,1),43),"")</f>
        <v/>
      </c>
      <c r="B44">
        <f>IF(A44="","",INDEX(SORT(FILTER(Transactions!A$2:G$1000,(Transactions!C$2:C$1000="Buy")*(Transactions!B$2:B$1000&lt;&gt;"")),2,1),43,1))</f>
        <v/>
      </c>
      <c r="C44">
        <f>IF(A44="","",INDEX(SORT(FILTER(Transactions!A$2:G$1000,(Transactions!C$2:C$1000="Buy")*(Transactions!B$2:B$1000&lt;&gt;"")),2,1),43,4))</f>
        <v/>
      </c>
      <c r="D44">
        <f>IF(A44="","",INDEX(SORT(FILTER(Transactions!A$2:G$1000,(Transactions!C$2:C$1000="Buy")*(Transactions!B$2:B$1000&lt;&gt;"")),2,1),43,5))</f>
        <v/>
      </c>
      <c r="E44">
        <f>IF(C44="","",C44*D44)</f>
        <v/>
      </c>
      <c r="F44">
        <f>IF(A44="","",SUMIFS(C:C,A:A,A44,B:B,"&lt;="&amp;B44))</f>
        <v/>
      </c>
      <c r="G44">
        <f>IF(A44="","",SUMIFS(Transactions!D:D,Transactions!B:B,A44,Transactions!C:C,"Sell"))</f>
        <v/>
      </c>
      <c r="H44">
        <f>IF(A44="","",IF(G44&lt;=0,0,MAX(0,MIN(C44,G44-SUMIFS(H$2:H$43,A$2:A$43,A44)))))</f>
        <v/>
      </c>
      <c r="I44">
        <f>IF(C44="","",MAX(0,C44-H44))</f>
        <v/>
      </c>
      <c r="J44">
        <f>IF(I44="","",I44*D44)</f>
        <v/>
      </c>
    </row>
    <row r="45">
      <c r="A45">
        <f>IFERROR(INDEX(SORT(FILTER(Transactions!B$2:B$1000,(Transactions!C$2:C$1000="Buy")*(Transactions!B$2:B$1000&lt;&gt;"")),1,1),44),"")</f>
        <v/>
      </c>
      <c r="B45">
        <f>IF(A45="","",INDEX(SORT(FILTER(Transactions!A$2:G$1000,(Transactions!C$2:C$1000="Buy")*(Transactions!B$2:B$1000&lt;&gt;"")),2,1),44,1))</f>
        <v/>
      </c>
      <c r="C45">
        <f>IF(A45="","",INDEX(SORT(FILTER(Transactions!A$2:G$1000,(Transactions!C$2:C$1000="Buy")*(Transactions!B$2:B$1000&lt;&gt;"")),2,1),44,4))</f>
        <v/>
      </c>
      <c r="D45">
        <f>IF(A45="","",INDEX(SORT(FILTER(Transactions!A$2:G$1000,(Transactions!C$2:C$1000="Buy")*(Transactions!B$2:B$1000&lt;&gt;"")),2,1),44,5))</f>
        <v/>
      </c>
      <c r="E45">
        <f>IF(C45="","",C45*D45)</f>
        <v/>
      </c>
      <c r="F45">
        <f>IF(A45="","",SUMIFS(C:C,A:A,A45,B:B,"&lt;="&amp;B45))</f>
        <v/>
      </c>
      <c r="G45">
        <f>IF(A45="","",SUMIFS(Transactions!D:D,Transactions!B:B,A45,Transactions!C:C,"Sell"))</f>
        <v/>
      </c>
      <c r="H45">
        <f>IF(A45="","",IF(G45&lt;=0,0,MAX(0,MIN(C45,G45-SUMIFS(H$2:H$44,A$2:A$44,A45)))))</f>
        <v/>
      </c>
      <c r="I45">
        <f>IF(C45="","",MAX(0,C45-H45))</f>
        <v/>
      </c>
      <c r="J45">
        <f>IF(I45="","",I45*D45)</f>
        <v/>
      </c>
    </row>
    <row r="46">
      <c r="A46">
        <f>IFERROR(INDEX(SORT(FILTER(Transactions!B$2:B$1000,(Transactions!C$2:C$1000="Buy")*(Transactions!B$2:B$1000&lt;&gt;"")),1,1),45),"")</f>
        <v/>
      </c>
      <c r="B46">
        <f>IF(A46="","",INDEX(SORT(FILTER(Transactions!A$2:G$1000,(Transactions!C$2:C$1000="Buy")*(Transactions!B$2:B$1000&lt;&gt;"")),2,1),45,1))</f>
        <v/>
      </c>
      <c r="C46">
        <f>IF(A46="","",INDEX(SORT(FILTER(Transactions!A$2:G$1000,(Transactions!C$2:C$1000="Buy")*(Transactions!B$2:B$1000&lt;&gt;"")),2,1),45,4))</f>
        <v/>
      </c>
      <c r="D46">
        <f>IF(A46="","",INDEX(SORT(FILTER(Transactions!A$2:G$1000,(Transactions!C$2:C$1000="Buy")*(Transactions!B$2:B$1000&lt;&gt;"")),2,1),45,5))</f>
        <v/>
      </c>
      <c r="E46">
        <f>IF(C46="","",C46*D46)</f>
        <v/>
      </c>
      <c r="F46">
        <f>IF(A46="","",SUMIFS(C:C,A:A,A46,B:B,"&lt;="&amp;B46))</f>
        <v/>
      </c>
      <c r="G46">
        <f>IF(A46="","",SUMIFS(Transactions!D:D,Transactions!B:B,A46,Transactions!C:C,"Sell"))</f>
        <v/>
      </c>
      <c r="H46">
        <f>IF(A46="","",IF(G46&lt;=0,0,MAX(0,MIN(C46,G46-SUMIFS(H$2:H$45,A$2:A$45,A46)))))</f>
        <v/>
      </c>
      <c r="I46">
        <f>IF(C46="","",MAX(0,C46-H46))</f>
        <v/>
      </c>
      <c r="J46">
        <f>IF(I46="","",I46*D46)</f>
        <v/>
      </c>
    </row>
    <row r="47">
      <c r="A47">
        <f>IFERROR(INDEX(SORT(FILTER(Transactions!B$2:B$1000,(Transactions!C$2:C$1000="Buy")*(Transactions!B$2:B$1000&lt;&gt;"")),1,1),46),"")</f>
        <v/>
      </c>
      <c r="B47">
        <f>IF(A47="","",INDEX(SORT(FILTER(Transactions!A$2:G$1000,(Transactions!C$2:C$1000="Buy")*(Transactions!B$2:B$1000&lt;&gt;"")),2,1),46,1))</f>
        <v/>
      </c>
      <c r="C47">
        <f>IF(A47="","",INDEX(SORT(FILTER(Transactions!A$2:G$1000,(Transactions!C$2:C$1000="Buy")*(Transactions!B$2:B$1000&lt;&gt;"")),2,1),46,4))</f>
        <v/>
      </c>
      <c r="D47">
        <f>IF(A47="","",INDEX(SORT(FILTER(Transactions!A$2:G$1000,(Transactions!C$2:C$1000="Buy")*(Transactions!B$2:B$1000&lt;&gt;"")),2,1),46,5))</f>
        <v/>
      </c>
      <c r="E47">
        <f>IF(C47="","",C47*D47)</f>
        <v/>
      </c>
      <c r="F47">
        <f>IF(A47="","",SUMIFS(C:C,A:A,A47,B:B,"&lt;="&amp;B47))</f>
        <v/>
      </c>
      <c r="G47">
        <f>IF(A47="","",SUMIFS(Transactions!D:D,Transactions!B:B,A47,Transactions!C:C,"Sell"))</f>
        <v/>
      </c>
      <c r="H47">
        <f>IF(A47="","",IF(G47&lt;=0,0,MAX(0,MIN(C47,G47-SUMIFS(H$2:H$46,A$2:A$46,A47)))))</f>
        <v/>
      </c>
      <c r="I47">
        <f>IF(C47="","",MAX(0,C47-H47))</f>
        <v/>
      </c>
      <c r="J47">
        <f>IF(I47="","",I47*D47)</f>
        <v/>
      </c>
    </row>
    <row r="48">
      <c r="A48">
        <f>IFERROR(INDEX(SORT(FILTER(Transactions!B$2:B$1000,(Transactions!C$2:C$1000="Buy")*(Transactions!B$2:B$1000&lt;&gt;"")),1,1),47),"")</f>
        <v/>
      </c>
      <c r="B48">
        <f>IF(A48="","",INDEX(SORT(FILTER(Transactions!A$2:G$1000,(Transactions!C$2:C$1000="Buy")*(Transactions!B$2:B$1000&lt;&gt;"")),2,1),47,1))</f>
        <v/>
      </c>
      <c r="C48">
        <f>IF(A48="","",INDEX(SORT(FILTER(Transactions!A$2:G$1000,(Transactions!C$2:C$1000="Buy")*(Transactions!B$2:B$1000&lt;&gt;"")),2,1),47,4))</f>
        <v/>
      </c>
      <c r="D48">
        <f>IF(A48="","",INDEX(SORT(FILTER(Transactions!A$2:G$1000,(Transactions!C$2:C$1000="Buy")*(Transactions!B$2:B$1000&lt;&gt;"")),2,1),47,5))</f>
        <v/>
      </c>
      <c r="E48">
        <f>IF(C48="","",C48*D48)</f>
        <v/>
      </c>
      <c r="F48">
        <f>IF(A48="","",SUMIFS(C:C,A:A,A48,B:B,"&lt;="&amp;B48))</f>
        <v/>
      </c>
      <c r="G48">
        <f>IF(A48="","",SUMIFS(Transactions!D:D,Transactions!B:B,A48,Transactions!C:C,"Sell"))</f>
        <v/>
      </c>
      <c r="H48">
        <f>IF(A48="","",IF(G48&lt;=0,0,MAX(0,MIN(C48,G48-SUMIFS(H$2:H$47,A$2:A$47,A48)))))</f>
        <v/>
      </c>
      <c r="I48">
        <f>IF(C48="","",MAX(0,C48-H48))</f>
        <v/>
      </c>
      <c r="J48">
        <f>IF(I48="","",I48*D48)</f>
        <v/>
      </c>
    </row>
    <row r="49">
      <c r="A49">
        <f>IFERROR(INDEX(SORT(FILTER(Transactions!B$2:B$1000,(Transactions!C$2:C$1000="Buy")*(Transactions!B$2:B$1000&lt;&gt;"")),1,1),48),"")</f>
        <v/>
      </c>
      <c r="B49">
        <f>IF(A49="","",INDEX(SORT(FILTER(Transactions!A$2:G$1000,(Transactions!C$2:C$1000="Buy")*(Transactions!B$2:B$1000&lt;&gt;"")),2,1),48,1))</f>
        <v/>
      </c>
      <c r="C49">
        <f>IF(A49="","",INDEX(SORT(FILTER(Transactions!A$2:G$1000,(Transactions!C$2:C$1000="Buy")*(Transactions!B$2:B$1000&lt;&gt;"")),2,1),48,4))</f>
        <v/>
      </c>
      <c r="D49">
        <f>IF(A49="","",INDEX(SORT(FILTER(Transactions!A$2:G$1000,(Transactions!C$2:C$1000="Buy")*(Transactions!B$2:B$1000&lt;&gt;"")),2,1),48,5))</f>
        <v/>
      </c>
      <c r="E49">
        <f>IF(C49="","",C49*D49)</f>
        <v/>
      </c>
      <c r="F49">
        <f>IF(A49="","",SUMIFS(C:C,A:A,A49,B:B,"&lt;="&amp;B49))</f>
        <v/>
      </c>
      <c r="G49">
        <f>IF(A49="","",SUMIFS(Transactions!D:D,Transactions!B:B,A49,Transactions!C:C,"Sell"))</f>
        <v/>
      </c>
      <c r="H49">
        <f>IF(A49="","",IF(G49&lt;=0,0,MAX(0,MIN(C49,G49-SUMIFS(H$2:H$48,A$2:A$48,A49)))))</f>
        <v/>
      </c>
      <c r="I49">
        <f>IF(C49="","",MAX(0,C49-H49))</f>
        <v/>
      </c>
      <c r="J49">
        <f>IF(I49="","",I49*D49)</f>
        <v/>
      </c>
    </row>
    <row r="50">
      <c r="A50">
        <f>IFERROR(INDEX(SORT(FILTER(Transactions!B$2:B$1000,(Transactions!C$2:C$1000="Buy")*(Transactions!B$2:B$1000&lt;&gt;"")),1,1),49),"")</f>
        <v/>
      </c>
      <c r="B50">
        <f>IF(A50="","",INDEX(SORT(FILTER(Transactions!A$2:G$1000,(Transactions!C$2:C$1000="Buy")*(Transactions!B$2:B$1000&lt;&gt;"")),2,1),49,1))</f>
        <v/>
      </c>
      <c r="C50">
        <f>IF(A50="","",INDEX(SORT(FILTER(Transactions!A$2:G$1000,(Transactions!C$2:C$1000="Buy")*(Transactions!B$2:B$1000&lt;&gt;"")),2,1),49,4))</f>
        <v/>
      </c>
      <c r="D50">
        <f>IF(A50="","",INDEX(SORT(FILTER(Transactions!A$2:G$1000,(Transactions!C$2:C$1000="Buy")*(Transactions!B$2:B$1000&lt;&gt;"")),2,1),49,5))</f>
        <v/>
      </c>
      <c r="E50">
        <f>IF(C50="","",C50*D50)</f>
        <v/>
      </c>
      <c r="F50">
        <f>IF(A50="","",SUMIFS(C:C,A:A,A50,B:B,"&lt;="&amp;B50))</f>
        <v/>
      </c>
      <c r="G50">
        <f>IF(A50="","",SUMIFS(Transactions!D:D,Transactions!B:B,A50,Transactions!C:C,"Sell"))</f>
        <v/>
      </c>
      <c r="H50">
        <f>IF(A50="","",IF(G50&lt;=0,0,MAX(0,MIN(C50,G50-SUMIFS(H$2:H$49,A$2:A$49,A50)))))</f>
        <v/>
      </c>
      <c r="I50">
        <f>IF(C50="","",MAX(0,C50-H50))</f>
        <v/>
      </c>
      <c r="J50">
        <f>IF(I50="","",I50*D50)</f>
        <v/>
      </c>
    </row>
    <row r="51">
      <c r="A51">
        <f>IFERROR(INDEX(SORT(FILTER(Transactions!B$2:B$1000,(Transactions!C$2:C$1000="Buy")*(Transactions!B$2:B$1000&lt;&gt;"")),1,1),50),"")</f>
        <v/>
      </c>
      <c r="B51">
        <f>IF(A51="","",INDEX(SORT(FILTER(Transactions!A$2:G$1000,(Transactions!C$2:C$1000="Buy")*(Transactions!B$2:B$1000&lt;&gt;"")),2,1),50,1))</f>
        <v/>
      </c>
      <c r="C51">
        <f>IF(A51="","",INDEX(SORT(FILTER(Transactions!A$2:G$1000,(Transactions!C$2:C$1000="Buy")*(Transactions!B$2:B$1000&lt;&gt;"")),2,1),50,4))</f>
        <v/>
      </c>
      <c r="D51">
        <f>IF(A51="","",INDEX(SORT(FILTER(Transactions!A$2:G$1000,(Transactions!C$2:C$1000="Buy")*(Transactions!B$2:B$1000&lt;&gt;"")),2,1),50,5))</f>
        <v/>
      </c>
      <c r="E51">
        <f>IF(C51="","",C51*D51)</f>
        <v/>
      </c>
      <c r="F51">
        <f>IF(A51="","",SUMIFS(C:C,A:A,A51,B:B,"&lt;="&amp;B51))</f>
        <v/>
      </c>
      <c r="G51">
        <f>IF(A51="","",SUMIFS(Transactions!D:D,Transactions!B:B,A51,Transactions!C:C,"Sell"))</f>
        <v/>
      </c>
      <c r="H51">
        <f>IF(A51="","",IF(G51&lt;=0,0,MAX(0,MIN(C51,G51-SUMIFS(H$2:H$50,A$2:A$50,A51)))))</f>
        <v/>
      </c>
      <c r="I51">
        <f>IF(C51="","",MAX(0,C51-H51))</f>
        <v/>
      </c>
      <c r="J51">
        <f>IF(I51="","",I51*D51)</f>
        <v/>
      </c>
    </row>
    <row r="52">
      <c r="A52">
        <f>IFERROR(INDEX(SORT(FILTER(Transactions!B$2:B$1000,(Transactions!C$2:C$1000="Buy")*(Transactions!B$2:B$1000&lt;&gt;"")),1,1),51),"")</f>
        <v/>
      </c>
      <c r="B52">
        <f>IF(A52="","",INDEX(SORT(FILTER(Transactions!A$2:G$1000,(Transactions!C$2:C$1000="Buy")*(Transactions!B$2:B$1000&lt;&gt;"")),2,1),51,1))</f>
        <v/>
      </c>
      <c r="C52">
        <f>IF(A52="","",INDEX(SORT(FILTER(Transactions!A$2:G$1000,(Transactions!C$2:C$1000="Buy")*(Transactions!B$2:B$1000&lt;&gt;"")),2,1),51,4))</f>
        <v/>
      </c>
      <c r="D52">
        <f>IF(A52="","",INDEX(SORT(FILTER(Transactions!A$2:G$1000,(Transactions!C$2:C$1000="Buy")*(Transactions!B$2:B$1000&lt;&gt;"")),2,1),51,5))</f>
        <v/>
      </c>
      <c r="E52">
        <f>IF(C52="","",C52*D52)</f>
        <v/>
      </c>
      <c r="F52">
        <f>IF(A52="","",SUMIFS(C:C,A:A,A52,B:B,"&lt;="&amp;B52))</f>
        <v/>
      </c>
      <c r="G52">
        <f>IF(A52="","",SUMIFS(Transactions!D:D,Transactions!B:B,A52,Transactions!C:C,"Sell"))</f>
        <v/>
      </c>
      <c r="H52">
        <f>IF(A52="","",IF(G52&lt;=0,0,MAX(0,MIN(C52,G52-SUMIFS(H$2:H$51,A$2:A$51,A52)))))</f>
        <v/>
      </c>
      <c r="I52">
        <f>IF(C52="","",MAX(0,C52-H52))</f>
        <v/>
      </c>
      <c r="J52">
        <f>IF(I52="","",I52*D52)</f>
        <v/>
      </c>
    </row>
    <row r="53">
      <c r="A53">
        <f>IFERROR(INDEX(SORT(FILTER(Transactions!B$2:B$1000,(Transactions!C$2:C$1000="Buy")*(Transactions!B$2:B$1000&lt;&gt;"")),1,1),52),"")</f>
        <v/>
      </c>
      <c r="B53">
        <f>IF(A53="","",INDEX(SORT(FILTER(Transactions!A$2:G$1000,(Transactions!C$2:C$1000="Buy")*(Transactions!B$2:B$1000&lt;&gt;"")),2,1),52,1))</f>
        <v/>
      </c>
      <c r="C53">
        <f>IF(A53="","",INDEX(SORT(FILTER(Transactions!A$2:G$1000,(Transactions!C$2:C$1000="Buy")*(Transactions!B$2:B$1000&lt;&gt;"")),2,1),52,4))</f>
        <v/>
      </c>
      <c r="D53">
        <f>IF(A53="","",INDEX(SORT(FILTER(Transactions!A$2:G$1000,(Transactions!C$2:C$1000="Buy")*(Transactions!B$2:B$1000&lt;&gt;"")),2,1),52,5))</f>
        <v/>
      </c>
      <c r="E53">
        <f>IF(C53="","",C53*D53)</f>
        <v/>
      </c>
      <c r="F53">
        <f>IF(A53="","",SUMIFS(C:C,A:A,A53,B:B,"&lt;="&amp;B53))</f>
        <v/>
      </c>
      <c r="G53">
        <f>IF(A53="","",SUMIFS(Transactions!D:D,Transactions!B:B,A53,Transactions!C:C,"Sell"))</f>
        <v/>
      </c>
      <c r="H53">
        <f>IF(A53="","",IF(G53&lt;=0,0,MAX(0,MIN(C53,G53-SUMIFS(H$2:H$52,A$2:A$52,A53)))))</f>
        <v/>
      </c>
      <c r="I53">
        <f>IF(C53="","",MAX(0,C53-H53))</f>
        <v/>
      </c>
      <c r="J53">
        <f>IF(I53="","",I53*D53)</f>
        <v/>
      </c>
    </row>
    <row r="54">
      <c r="A54">
        <f>IFERROR(INDEX(SORT(FILTER(Transactions!B$2:B$1000,(Transactions!C$2:C$1000="Buy")*(Transactions!B$2:B$1000&lt;&gt;"")),1,1),53),"")</f>
        <v/>
      </c>
      <c r="B54">
        <f>IF(A54="","",INDEX(SORT(FILTER(Transactions!A$2:G$1000,(Transactions!C$2:C$1000="Buy")*(Transactions!B$2:B$1000&lt;&gt;"")),2,1),53,1))</f>
        <v/>
      </c>
      <c r="C54">
        <f>IF(A54="","",INDEX(SORT(FILTER(Transactions!A$2:G$1000,(Transactions!C$2:C$1000="Buy")*(Transactions!B$2:B$1000&lt;&gt;"")),2,1),53,4))</f>
        <v/>
      </c>
      <c r="D54">
        <f>IF(A54="","",INDEX(SORT(FILTER(Transactions!A$2:G$1000,(Transactions!C$2:C$1000="Buy")*(Transactions!B$2:B$1000&lt;&gt;"")),2,1),53,5))</f>
        <v/>
      </c>
      <c r="E54">
        <f>IF(C54="","",C54*D54)</f>
        <v/>
      </c>
      <c r="F54">
        <f>IF(A54="","",SUMIFS(C:C,A:A,A54,B:B,"&lt;="&amp;B54))</f>
        <v/>
      </c>
      <c r="G54">
        <f>IF(A54="","",SUMIFS(Transactions!D:D,Transactions!B:B,A54,Transactions!C:C,"Sell"))</f>
        <v/>
      </c>
      <c r="H54">
        <f>IF(A54="","",IF(G54&lt;=0,0,MAX(0,MIN(C54,G54-SUMIFS(H$2:H$53,A$2:A$53,A54)))))</f>
        <v/>
      </c>
      <c r="I54">
        <f>IF(C54="","",MAX(0,C54-H54))</f>
        <v/>
      </c>
      <c r="J54">
        <f>IF(I54="","",I54*D54)</f>
        <v/>
      </c>
    </row>
    <row r="55">
      <c r="A55">
        <f>IFERROR(INDEX(SORT(FILTER(Transactions!B$2:B$1000,(Transactions!C$2:C$1000="Buy")*(Transactions!B$2:B$1000&lt;&gt;"")),1,1),54),"")</f>
        <v/>
      </c>
      <c r="B55">
        <f>IF(A55="","",INDEX(SORT(FILTER(Transactions!A$2:G$1000,(Transactions!C$2:C$1000="Buy")*(Transactions!B$2:B$1000&lt;&gt;"")),2,1),54,1))</f>
        <v/>
      </c>
      <c r="C55">
        <f>IF(A55="","",INDEX(SORT(FILTER(Transactions!A$2:G$1000,(Transactions!C$2:C$1000="Buy")*(Transactions!B$2:B$1000&lt;&gt;"")),2,1),54,4))</f>
        <v/>
      </c>
      <c r="D55">
        <f>IF(A55="","",INDEX(SORT(FILTER(Transactions!A$2:G$1000,(Transactions!C$2:C$1000="Buy")*(Transactions!B$2:B$1000&lt;&gt;"")),2,1),54,5))</f>
        <v/>
      </c>
      <c r="E55">
        <f>IF(C55="","",C55*D55)</f>
        <v/>
      </c>
      <c r="F55">
        <f>IF(A55="","",SUMIFS(C:C,A:A,A55,B:B,"&lt;="&amp;B55))</f>
        <v/>
      </c>
      <c r="G55">
        <f>IF(A55="","",SUMIFS(Transactions!D:D,Transactions!B:B,A55,Transactions!C:C,"Sell"))</f>
        <v/>
      </c>
      <c r="H55">
        <f>IF(A55="","",IF(G55&lt;=0,0,MAX(0,MIN(C55,G55-SUMIFS(H$2:H$54,A$2:A$54,A55)))))</f>
        <v/>
      </c>
      <c r="I55">
        <f>IF(C55="","",MAX(0,C55-H55))</f>
        <v/>
      </c>
      <c r="J55">
        <f>IF(I55="","",I55*D55)</f>
        <v/>
      </c>
    </row>
    <row r="56">
      <c r="A56">
        <f>IFERROR(INDEX(SORT(FILTER(Transactions!B$2:B$1000,(Transactions!C$2:C$1000="Buy")*(Transactions!B$2:B$1000&lt;&gt;"")),1,1),55),"")</f>
        <v/>
      </c>
      <c r="B56">
        <f>IF(A56="","",INDEX(SORT(FILTER(Transactions!A$2:G$1000,(Transactions!C$2:C$1000="Buy")*(Transactions!B$2:B$1000&lt;&gt;"")),2,1),55,1))</f>
        <v/>
      </c>
      <c r="C56">
        <f>IF(A56="","",INDEX(SORT(FILTER(Transactions!A$2:G$1000,(Transactions!C$2:C$1000="Buy")*(Transactions!B$2:B$1000&lt;&gt;"")),2,1),55,4))</f>
        <v/>
      </c>
      <c r="D56">
        <f>IF(A56="","",INDEX(SORT(FILTER(Transactions!A$2:G$1000,(Transactions!C$2:C$1000="Buy")*(Transactions!B$2:B$1000&lt;&gt;"")),2,1),55,5))</f>
        <v/>
      </c>
      <c r="E56">
        <f>IF(C56="","",C56*D56)</f>
        <v/>
      </c>
      <c r="F56">
        <f>IF(A56="","",SUMIFS(C:C,A:A,A56,B:B,"&lt;="&amp;B56))</f>
        <v/>
      </c>
      <c r="G56">
        <f>IF(A56="","",SUMIFS(Transactions!D:D,Transactions!B:B,A56,Transactions!C:C,"Sell"))</f>
        <v/>
      </c>
      <c r="H56">
        <f>IF(A56="","",IF(G56&lt;=0,0,MAX(0,MIN(C56,G56-SUMIFS(H$2:H$55,A$2:A$55,A56)))))</f>
        <v/>
      </c>
      <c r="I56">
        <f>IF(C56="","",MAX(0,C56-H56))</f>
        <v/>
      </c>
      <c r="J56">
        <f>IF(I56="","",I56*D56)</f>
        <v/>
      </c>
    </row>
    <row r="57">
      <c r="A57">
        <f>IFERROR(INDEX(SORT(FILTER(Transactions!B$2:B$1000,(Transactions!C$2:C$1000="Buy")*(Transactions!B$2:B$1000&lt;&gt;"")),1,1),56),"")</f>
        <v/>
      </c>
      <c r="B57">
        <f>IF(A57="","",INDEX(SORT(FILTER(Transactions!A$2:G$1000,(Transactions!C$2:C$1000="Buy")*(Transactions!B$2:B$1000&lt;&gt;"")),2,1),56,1))</f>
        <v/>
      </c>
      <c r="C57">
        <f>IF(A57="","",INDEX(SORT(FILTER(Transactions!A$2:G$1000,(Transactions!C$2:C$1000="Buy")*(Transactions!B$2:B$1000&lt;&gt;"")),2,1),56,4))</f>
        <v/>
      </c>
      <c r="D57">
        <f>IF(A57="","",INDEX(SORT(FILTER(Transactions!A$2:G$1000,(Transactions!C$2:C$1000="Buy")*(Transactions!B$2:B$1000&lt;&gt;"")),2,1),56,5))</f>
        <v/>
      </c>
      <c r="E57">
        <f>IF(C57="","",C57*D57)</f>
        <v/>
      </c>
      <c r="F57">
        <f>IF(A57="","",SUMIFS(C:C,A:A,A57,B:B,"&lt;="&amp;B57))</f>
        <v/>
      </c>
      <c r="G57">
        <f>IF(A57="","",SUMIFS(Transactions!D:D,Transactions!B:B,A57,Transactions!C:C,"Sell"))</f>
        <v/>
      </c>
      <c r="H57">
        <f>IF(A57="","",IF(G57&lt;=0,0,MAX(0,MIN(C57,G57-SUMIFS(H$2:H$56,A$2:A$56,A57)))))</f>
        <v/>
      </c>
      <c r="I57">
        <f>IF(C57="","",MAX(0,C57-H57))</f>
        <v/>
      </c>
      <c r="J57">
        <f>IF(I57="","",I57*D57)</f>
        <v/>
      </c>
    </row>
    <row r="58">
      <c r="A58">
        <f>IFERROR(INDEX(SORT(FILTER(Transactions!B$2:B$1000,(Transactions!C$2:C$1000="Buy")*(Transactions!B$2:B$1000&lt;&gt;"")),1,1),57),"")</f>
        <v/>
      </c>
      <c r="B58">
        <f>IF(A58="","",INDEX(SORT(FILTER(Transactions!A$2:G$1000,(Transactions!C$2:C$1000="Buy")*(Transactions!B$2:B$1000&lt;&gt;"")),2,1),57,1))</f>
        <v/>
      </c>
      <c r="C58">
        <f>IF(A58="","",INDEX(SORT(FILTER(Transactions!A$2:G$1000,(Transactions!C$2:C$1000="Buy")*(Transactions!B$2:B$1000&lt;&gt;"")),2,1),57,4))</f>
        <v/>
      </c>
      <c r="D58">
        <f>IF(A58="","",INDEX(SORT(FILTER(Transactions!A$2:G$1000,(Transactions!C$2:C$1000="Buy")*(Transactions!B$2:B$1000&lt;&gt;"")),2,1),57,5))</f>
        <v/>
      </c>
      <c r="E58">
        <f>IF(C58="","",C58*D58)</f>
        <v/>
      </c>
      <c r="F58">
        <f>IF(A58="","",SUMIFS(C:C,A:A,A58,B:B,"&lt;="&amp;B58))</f>
        <v/>
      </c>
      <c r="G58">
        <f>IF(A58="","",SUMIFS(Transactions!D:D,Transactions!B:B,A58,Transactions!C:C,"Sell"))</f>
        <v/>
      </c>
      <c r="H58">
        <f>IF(A58="","",IF(G58&lt;=0,0,MAX(0,MIN(C58,G58-SUMIFS(H$2:H$57,A$2:A$57,A58)))))</f>
        <v/>
      </c>
      <c r="I58">
        <f>IF(C58="","",MAX(0,C58-H58))</f>
        <v/>
      </c>
      <c r="J58">
        <f>IF(I58="","",I58*D58)</f>
        <v/>
      </c>
    </row>
    <row r="59">
      <c r="A59">
        <f>IFERROR(INDEX(SORT(FILTER(Transactions!B$2:B$1000,(Transactions!C$2:C$1000="Buy")*(Transactions!B$2:B$1000&lt;&gt;"")),1,1),58),"")</f>
        <v/>
      </c>
      <c r="B59">
        <f>IF(A59="","",INDEX(SORT(FILTER(Transactions!A$2:G$1000,(Transactions!C$2:C$1000="Buy")*(Transactions!B$2:B$1000&lt;&gt;"")),2,1),58,1))</f>
        <v/>
      </c>
      <c r="C59">
        <f>IF(A59="","",INDEX(SORT(FILTER(Transactions!A$2:G$1000,(Transactions!C$2:C$1000="Buy")*(Transactions!B$2:B$1000&lt;&gt;"")),2,1),58,4))</f>
        <v/>
      </c>
      <c r="D59">
        <f>IF(A59="","",INDEX(SORT(FILTER(Transactions!A$2:G$1000,(Transactions!C$2:C$1000="Buy")*(Transactions!B$2:B$1000&lt;&gt;"")),2,1),58,5))</f>
        <v/>
      </c>
      <c r="E59">
        <f>IF(C59="","",C59*D59)</f>
        <v/>
      </c>
      <c r="F59">
        <f>IF(A59="","",SUMIFS(C:C,A:A,A59,B:B,"&lt;="&amp;B59))</f>
        <v/>
      </c>
      <c r="G59">
        <f>IF(A59="","",SUMIFS(Transactions!D:D,Transactions!B:B,A59,Transactions!C:C,"Sell"))</f>
        <v/>
      </c>
      <c r="H59">
        <f>IF(A59="","",IF(G59&lt;=0,0,MAX(0,MIN(C59,G59-SUMIFS(H$2:H$58,A$2:A$58,A59)))))</f>
        <v/>
      </c>
      <c r="I59">
        <f>IF(C59="","",MAX(0,C59-H59))</f>
        <v/>
      </c>
      <c r="J59">
        <f>IF(I59="","",I59*D59)</f>
        <v/>
      </c>
    </row>
    <row r="60">
      <c r="A60">
        <f>IFERROR(INDEX(SORT(FILTER(Transactions!B$2:B$1000,(Transactions!C$2:C$1000="Buy")*(Transactions!B$2:B$1000&lt;&gt;"")),1,1),59),"")</f>
        <v/>
      </c>
      <c r="B60">
        <f>IF(A60="","",INDEX(SORT(FILTER(Transactions!A$2:G$1000,(Transactions!C$2:C$1000="Buy")*(Transactions!B$2:B$1000&lt;&gt;"")),2,1),59,1))</f>
        <v/>
      </c>
      <c r="C60">
        <f>IF(A60="","",INDEX(SORT(FILTER(Transactions!A$2:G$1000,(Transactions!C$2:C$1000="Buy")*(Transactions!B$2:B$1000&lt;&gt;"")),2,1),59,4))</f>
        <v/>
      </c>
      <c r="D60">
        <f>IF(A60="","",INDEX(SORT(FILTER(Transactions!A$2:G$1000,(Transactions!C$2:C$1000="Buy")*(Transactions!B$2:B$1000&lt;&gt;"")),2,1),59,5))</f>
        <v/>
      </c>
      <c r="E60">
        <f>IF(C60="","",C60*D60)</f>
        <v/>
      </c>
      <c r="F60">
        <f>IF(A60="","",SUMIFS(C:C,A:A,A60,B:B,"&lt;="&amp;B60))</f>
        <v/>
      </c>
      <c r="G60">
        <f>IF(A60="","",SUMIFS(Transactions!D:D,Transactions!B:B,A60,Transactions!C:C,"Sell"))</f>
        <v/>
      </c>
      <c r="H60">
        <f>IF(A60="","",IF(G60&lt;=0,0,MAX(0,MIN(C60,G60-SUMIFS(H$2:H$59,A$2:A$59,A60)))))</f>
        <v/>
      </c>
      <c r="I60">
        <f>IF(C60="","",MAX(0,C60-H60))</f>
        <v/>
      </c>
      <c r="J60">
        <f>IF(I60="","",I60*D60)</f>
        <v/>
      </c>
    </row>
    <row r="61">
      <c r="A61">
        <f>IFERROR(INDEX(SORT(FILTER(Transactions!B$2:B$1000,(Transactions!C$2:C$1000="Buy")*(Transactions!B$2:B$1000&lt;&gt;"")),1,1),60),"")</f>
        <v/>
      </c>
      <c r="B61">
        <f>IF(A61="","",INDEX(SORT(FILTER(Transactions!A$2:G$1000,(Transactions!C$2:C$1000="Buy")*(Transactions!B$2:B$1000&lt;&gt;"")),2,1),60,1))</f>
        <v/>
      </c>
      <c r="C61">
        <f>IF(A61="","",INDEX(SORT(FILTER(Transactions!A$2:G$1000,(Transactions!C$2:C$1000="Buy")*(Transactions!B$2:B$1000&lt;&gt;"")),2,1),60,4))</f>
        <v/>
      </c>
      <c r="D61">
        <f>IF(A61="","",INDEX(SORT(FILTER(Transactions!A$2:G$1000,(Transactions!C$2:C$1000="Buy")*(Transactions!B$2:B$1000&lt;&gt;"")),2,1),60,5))</f>
        <v/>
      </c>
      <c r="E61">
        <f>IF(C61="","",C61*D61)</f>
        <v/>
      </c>
      <c r="F61">
        <f>IF(A61="","",SUMIFS(C:C,A:A,A61,B:B,"&lt;="&amp;B61))</f>
        <v/>
      </c>
      <c r="G61">
        <f>IF(A61="","",SUMIFS(Transactions!D:D,Transactions!B:B,A61,Transactions!C:C,"Sell"))</f>
        <v/>
      </c>
      <c r="H61">
        <f>IF(A61="","",IF(G61&lt;=0,0,MAX(0,MIN(C61,G61-SUMIFS(H$2:H$60,A$2:A$60,A61)))))</f>
        <v/>
      </c>
      <c r="I61">
        <f>IF(C61="","",MAX(0,C61-H61))</f>
        <v/>
      </c>
      <c r="J61">
        <f>IF(I61="","",I61*D61)</f>
        <v/>
      </c>
    </row>
    <row r="62">
      <c r="A62">
        <f>IFERROR(INDEX(SORT(FILTER(Transactions!B$2:B$1000,(Transactions!C$2:C$1000="Buy")*(Transactions!B$2:B$1000&lt;&gt;"")),1,1),61),"")</f>
        <v/>
      </c>
      <c r="B62">
        <f>IF(A62="","",INDEX(SORT(FILTER(Transactions!A$2:G$1000,(Transactions!C$2:C$1000="Buy")*(Transactions!B$2:B$1000&lt;&gt;"")),2,1),61,1))</f>
        <v/>
      </c>
      <c r="C62">
        <f>IF(A62="","",INDEX(SORT(FILTER(Transactions!A$2:G$1000,(Transactions!C$2:C$1000="Buy")*(Transactions!B$2:B$1000&lt;&gt;"")),2,1),61,4))</f>
        <v/>
      </c>
      <c r="D62">
        <f>IF(A62="","",INDEX(SORT(FILTER(Transactions!A$2:G$1000,(Transactions!C$2:C$1000="Buy")*(Transactions!B$2:B$1000&lt;&gt;"")),2,1),61,5))</f>
        <v/>
      </c>
      <c r="E62">
        <f>IF(C62="","",C62*D62)</f>
        <v/>
      </c>
      <c r="F62">
        <f>IF(A62="","",SUMIFS(C:C,A:A,A62,B:B,"&lt;="&amp;B62))</f>
        <v/>
      </c>
      <c r="G62">
        <f>IF(A62="","",SUMIFS(Transactions!D:D,Transactions!B:B,A62,Transactions!C:C,"Sell"))</f>
        <v/>
      </c>
      <c r="H62">
        <f>IF(A62="","",IF(G62&lt;=0,0,MAX(0,MIN(C62,G62-SUMIFS(H$2:H$61,A$2:A$61,A62)))))</f>
        <v/>
      </c>
      <c r="I62">
        <f>IF(C62="","",MAX(0,C62-H62))</f>
        <v/>
      </c>
      <c r="J62">
        <f>IF(I62="","",I62*D62)</f>
        <v/>
      </c>
    </row>
    <row r="63">
      <c r="A63">
        <f>IFERROR(INDEX(SORT(FILTER(Transactions!B$2:B$1000,(Transactions!C$2:C$1000="Buy")*(Transactions!B$2:B$1000&lt;&gt;"")),1,1),62),"")</f>
        <v/>
      </c>
      <c r="B63">
        <f>IF(A63="","",INDEX(SORT(FILTER(Transactions!A$2:G$1000,(Transactions!C$2:C$1000="Buy")*(Transactions!B$2:B$1000&lt;&gt;"")),2,1),62,1))</f>
        <v/>
      </c>
      <c r="C63">
        <f>IF(A63="","",INDEX(SORT(FILTER(Transactions!A$2:G$1000,(Transactions!C$2:C$1000="Buy")*(Transactions!B$2:B$1000&lt;&gt;"")),2,1),62,4))</f>
        <v/>
      </c>
      <c r="D63">
        <f>IF(A63="","",INDEX(SORT(FILTER(Transactions!A$2:G$1000,(Transactions!C$2:C$1000="Buy")*(Transactions!B$2:B$1000&lt;&gt;"")),2,1),62,5))</f>
        <v/>
      </c>
      <c r="E63">
        <f>IF(C63="","",C63*D63)</f>
        <v/>
      </c>
      <c r="F63">
        <f>IF(A63="","",SUMIFS(C:C,A:A,A63,B:B,"&lt;="&amp;B63))</f>
        <v/>
      </c>
      <c r="G63">
        <f>IF(A63="","",SUMIFS(Transactions!D:D,Transactions!B:B,A63,Transactions!C:C,"Sell"))</f>
        <v/>
      </c>
      <c r="H63">
        <f>IF(A63="","",IF(G63&lt;=0,0,MAX(0,MIN(C63,G63-SUMIFS(H$2:H$62,A$2:A$62,A63)))))</f>
        <v/>
      </c>
      <c r="I63">
        <f>IF(C63="","",MAX(0,C63-H63))</f>
        <v/>
      </c>
      <c r="J63">
        <f>IF(I63="","",I63*D63)</f>
        <v/>
      </c>
    </row>
    <row r="64">
      <c r="A64">
        <f>IFERROR(INDEX(SORT(FILTER(Transactions!B$2:B$1000,(Transactions!C$2:C$1000="Buy")*(Transactions!B$2:B$1000&lt;&gt;"")),1,1),63),"")</f>
        <v/>
      </c>
      <c r="B64">
        <f>IF(A64="","",INDEX(SORT(FILTER(Transactions!A$2:G$1000,(Transactions!C$2:C$1000="Buy")*(Transactions!B$2:B$1000&lt;&gt;"")),2,1),63,1))</f>
        <v/>
      </c>
      <c r="C64">
        <f>IF(A64="","",INDEX(SORT(FILTER(Transactions!A$2:G$1000,(Transactions!C$2:C$1000="Buy")*(Transactions!B$2:B$1000&lt;&gt;"")),2,1),63,4))</f>
        <v/>
      </c>
      <c r="D64">
        <f>IF(A64="","",INDEX(SORT(FILTER(Transactions!A$2:G$1000,(Transactions!C$2:C$1000="Buy")*(Transactions!B$2:B$1000&lt;&gt;"")),2,1),63,5))</f>
        <v/>
      </c>
      <c r="E64">
        <f>IF(C64="","",C64*D64)</f>
        <v/>
      </c>
      <c r="F64">
        <f>IF(A64="","",SUMIFS(C:C,A:A,A64,B:B,"&lt;="&amp;B64))</f>
        <v/>
      </c>
      <c r="G64">
        <f>IF(A64="","",SUMIFS(Transactions!D:D,Transactions!B:B,A64,Transactions!C:C,"Sell"))</f>
        <v/>
      </c>
      <c r="H64">
        <f>IF(A64="","",IF(G64&lt;=0,0,MAX(0,MIN(C64,G64-SUMIFS(H$2:H$63,A$2:A$63,A64)))))</f>
        <v/>
      </c>
      <c r="I64">
        <f>IF(C64="","",MAX(0,C64-H64))</f>
        <v/>
      </c>
      <c r="J64">
        <f>IF(I64="","",I64*D64)</f>
        <v/>
      </c>
    </row>
    <row r="65">
      <c r="A65">
        <f>IFERROR(INDEX(SORT(FILTER(Transactions!B$2:B$1000,(Transactions!C$2:C$1000="Buy")*(Transactions!B$2:B$1000&lt;&gt;"")),1,1),64),"")</f>
        <v/>
      </c>
      <c r="B65">
        <f>IF(A65="","",INDEX(SORT(FILTER(Transactions!A$2:G$1000,(Transactions!C$2:C$1000="Buy")*(Transactions!B$2:B$1000&lt;&gt;"")),2,1),64,1))</f>
        <v/>
      </c>
      <c r="C65">
        <f>IF(A65="","",INDEX(SORT(FILTER(Transactions!A$2:G$1000,(Transactions!C$2:C$1000="Buy")*(Transactions!B$2:B$1000&lt;&gt;"")),2,1),64,4))</f>
        <v/>
      </c>
      <c r="D65">
        <f>IF(A65="","",INDEX(SORT(FILTER(Transactions!A$2:G$1000,(Transactions!C$2:C$1000="Buy")*(Transactions!B$2:B$1000&lt;&gt;"")),2,1),64,5))</f>
        <v/>
      </c>
      <c r="E65">
        <f>IF(C65="","",C65*D65)</f>
        <v/>
      </c>
      <c r="F65">
        <f>IF(A65="","",SUMIFS(C:C,A:A,A65,B:B,"&lt;="&amp;B65))</f>
        <v/>
      </c>
      <c r="G65">
        <f>IF(A65="","",SUMIFS(Transactions!D:D,Transactions!B:B,A65,Transactions!C:C,"Sell"))</f>
        <v/>
      </c>
      <c r="H65">
        <f>IF(A65="","",IF(G65&lt;=0,0,MAX(0,MIN(C65,G65-SUMIFS(H$2:H$64,A$2:A$64,A65)))))</f>
        <v/>
      </c>
      <c r="I65">
        <f>IF(C65="","",MAX(0,C65-H65))</f>
        <v/>
      </c>
      <c r="J65">
        <f>IF(I65="","",I65*D65)</f>
        <v/>
      </c>
    </row>
    <row r="66">
      <c r="A66">
        <f>IFERROR(INDEX(SORT(FILTER(Transactions!B$2:B$1000,(Transactions!C$2:C$1000="Buy")*(Transactions!B$2:B$1000&lt;&gt;"")),1,1),65),"")</f>
        <v/>
      </c>
      <c r="B66">
        <f>IF(A66="","",INDEX(SORT(FILTER(Transactions!A$2:G$1000,(Transactions!C$2:C$1000="Buy")*(Transactions!B$2:B$1000&lt;&gt;"")),2,1),65,1))</f>
        <v/>
      </c>
      <c r="C66">
        <f>IF(A66="","",INDEX(SORT(FILTER(Transactions!A$2:G$1000,(Transactions!C$2:C$1000="Buy")*(Transactions!B$2:B$1000&lt;&gt;"")),2,1),65,4))</f>
        <v/>
      </c>
      <c r="D66">
        <f>IF(A66="","",INDEX(SORT(FILTER(Transactions!A$2:G$1000,(Transactions!C$2:C$1000="Buy")*(Transactions!B$2:B$1000&lt;&gt;"")),2,1),65,5))</f>
        <v/>
      </c>
      <c r="E66">
        <f>IF(C66="","",C66*D66)</f>
        <v/>
      </c>
      <c r="F66">
        <f>IF(A66="","",SUMIFS(C:C,A:A,A66,B:B,"&lt;="&amp;B66))</f>
        <v/>
      </c>
      <c r="G66">
        <f>IF(A66="","",SUMIFS(Transactions!D:D,Transactions!B:B,A66,Transactions!C:C,"Sell"))</f>
        <v/>
      </c>
      <c r="H66">
        <f>IF(A66="","",IF(G66&lt;=0,0,MAX(0,MIN(C66,G66-SUMIFS(H$2:H$65,A$2:A$65,A66)))))</f>
        <v/>
      </c>
      <c r="I66">
        <f>IF(C66="","",MAX(0,C66-H66))</f>
        <v/>
      </c>
      <c r="J66">
        <f>IF(I66="","",I66*D66)</f>
        <v/>
      </c>
    </row>
    <row r="67">
      <c r="A67">
        <f>IFERROR(INDEX(SORT(FILTER(Transactions!B$2:B$1000,(Transactions!C$2:C$1000="Buy")*(Transactions!B$2:B$1000&lt;&gt;"")),1,1),66),"")</f>
        <v/>
      </c>
      <c r="B67">
        <f>IF(A67="","",INDEX(SORT(FILTER(Transactions!A$2:G$1000,(Transactions!C$2:C$1000="Buy")*(Transactions!B$2:B$1000&lt;&gt;"")),2,1),66,1))</f>
        <v/>
      </c>
      <c r="C67">
        <f>IF(A67="","",INDEX(SORT(FILTER(Transactions!A$2:G$1000,(Transactions!C$2:C$1000="Buy")*(Transactions!B$2:B$1000&lt;&gt;"")),2,1),66,4))</f>
        <v/>
      </c>
      <c r="D67">
        <f>IF(A67="","",INDEX(SORT(FILTER(Transactions!A$2:G$1000,(Transactions!C$2:C$1000="Buy")*(Transactions!B$2:B$1000&lt;&gt;"")),2,1),66,5))</f>
        <v/>
      </c>
      <c r="E67">
        <f>IF(C67="","",C67*D67)</f>
        <v/>
      </c>
      <c r="F67">
        <f>IF(A67="","",SUMIFS(C:C,A:A,A67,B:B,"&lt;="&amp;B67))</f>
        <v/>
      </c>
      <c r="G67">
        <f>IF(A67="","",SUMIFS(Transactions!D:D,Transactions!B:B,A67,Transactions!C:C,"Sell"))</f>
        <v/>
      </c>
      <c r="H67">
        <f>IF(A67="","",IF(G67&lt;=0,0,MAX(0,MIN(C67,G67-SUMIFS(H$2:H$66,A$2:A$66,A67)))))</f>
        <v/>
      </c>
      <c r="I67">
        <f>IF(C67="","",MAX(0,C67-H67))</f>
        <v/>
      </c>
      <c r="J67">
        <f>IF(I67="","",I67*D67)</f>
        <v/>
      </c>
    </row>
    <row r="68">
      <c r="A68">
        <f>IFERROR(INDEX(SORT(FILTER(Transactions!B$2:B$1000,(Transactions!C$2:C$1000="Buy")*(Transactions!B$2:B$1000&lt;&gt;"")),1,1),67),"")</f>
        <v/>
      </c>
      <c r="B68">
        <f>IF(A68="","",INDEX(SORT(FILTER(Transactions!A$2:G$1000,(Transactions!C$2:C$1000="Buy")*(Transactions!B$2:B$1000&lt;&gt;"")),2,1),67,1))</f>
        <v/>
      </c>
      <c r="C68">
        <f>IF(A68="","",INDEX(SORT(FILTER(Transactions!A$2:G$1000,(Transactions!C$2:C$1000="Buy")*(Transactions!B$2:B$1000&lt;&gt;"")),2,1),67,4))</f>
        <v/>
      </c>
      <c r="D68">
        <f>IF(A68="","",INDEX(SORT(FILTER(Transactions!A$2:G$1000,(Transactions!C$2:C$1000="Buy")*(Transactions!B$2:B$1000&lt;&gt;"")),2,1),67,5))</f>
        <v/>
      </c>
      <c r="E68">
        <f>IF(C68="","",C68*D68)</f>
        <v/>
      </c>
      <c r="F68">
        <f>IF(A68="","",SUMIFS(C:C,A:A,A68,B:B,"&lt;="&amp;B68))</f>
        <v/>
      </c>
      <c r="G68">
        <f>IF(A68="","",SUMIFS(Transactions!D:D,Transactions!B:B,A68,Transactions!C:C,"Sell"))</f>
        <v/>
      </c>
      <c r="H68">
        <f>IF(A68="","",IF(G68&lt;=0,0,MAX(0,MIN(C68,G68-SUMIFS(H$2:H$67,A$2:A$67,A68)))))</f>
        <v/>
      </c>
      <c r="I68">
        <f>IF(C68="","",MAX(0,C68-H68))</f>
        <v/>
      </c>
      <c r="J68">
        <f>IF(I68="","",I68*D68)</f>
        <v/>
      </c>
    </row>
    <row r="69">
      <c r="A69">
        <f>IFERROR(INDEX(SORT(FILTER(Transactions!B$2:B$1000,(Transactions!C$2:C$1000="Buy")*(Transactions!B$2:B$1000&lt;&gt;"")),1,1),68),"")</f>
        <v/>
      </c>
      <c r="B69">
        <f>IF(A69="","",INDEX(SORT(FILTER(Transactions!A$2:G$1000,(Transactions!C$2:C$1000="Buy")*(Transactions!B$2:B$1000&lt;&gt;"")),2,1),68,1))</f>
        <v/>
      </c>
      <c r="C69">
        <f>IF(A69="","",INDEX(SORT(FILTER(Transactions!A$2:G$1000,(Transactions!C$2:C$1000="Buy")*(Transactions!B$2:B$1000&lt;&gt;"")),2,1),68,4))</f>
        <v/>
      </c>
      <c r="D69">
        <f>IF(A69="","",INDEX(SORT(FILTER(Transactions!A$2:G$1000,(Transactions!C$2:C$1000="Buy")*(Transactions!B$2:B$1000&lt;&gt;"")),2,1),68,5))</f>
        <v/>
      </c>
      <c r="E69">
        <f>IF(C69="","",C69*D69)</f>
        <v/>
      </c>
      <c r="F69">
        <f>IF(A69="","",SUMIFS(C:C,A:A,A69,B:B,"&lt;="&amp;B69))</f>
        <v/>
      </c>
      <c r="G69">
        <f>IF(A69="","",SUMIFS(Transactions!D:D,Transactions!B:B,A69,Transactions!C:C,"Sell"))</f>
        <v/>
      </c>
      <c r="H69">
        <f>IF(A69="","",IF(G69&lt;=0,0,MAX(0,MIN(C69,G69-SUMIFS(H$2:H$68,A$2:A$68,A69)))))</f>
        <v/>
      </c>
      <c r="I69">
        <f>IF(C69="","",MAX(0,C69-H69))</f>
        <v/>
      </c>
      <c r="J69">
        <f>IF(I69="","",I69*D69)</f>
        <v/>
      </c>
    </row>
    <row r="70">
      <c r="A70">
        <f>IFERROR(INDEX(SORT(FILTER(Transactions!B$2:B$1000,(Transactions!C$2:C$1000="Buy")*(Transactions!B$2:B$1000&lt;&gt;"")),1,1),69),"")</f>
        <v/>
      </c>
      <c r="B70">
        <f>IF(A70="","",INDEX(SORT(FILTER(Transactions!A$2:G$1000,(Transactions!C$2:C$1000="Buy")*(Transactions!B$2:B$1000&lt;&gt;"")),2,1),69,1))</f>
        <v/>
      </c>
      <c r="C70">
        <f>IF(A70="","",INDEX(SORT(FILTER(Transactions!A$2:G$1000,(Transactions!C$2:C$1000="Buy")*(Transactions!B$2:B$1000&lt;&gt;"")),2,1),69,4))</f>
        <v/>
      </c>
      <c r="D70">
        <f>IF(A70="","",INDEX(SORT(FILTER(Transactions!A$2:G$1000,(Transactions!C$2:C$1000="Buy")*(Transactions!B$2:B$1000&lt;&gt;"")),2,1),69,5))</f>
        <v/>
      </c>
      <c r="E70">
        <f>IF(C70="","",C70*D70)</f>
        <v/>
      </c>
      <c r="F70">
        <f>IF(A70="","",SUMIFS(C:C,A:A,A70,B:B,"&lt;="&amp;B70))</f>
        <v/>
      </c>
      <c r="G70">
        <f>IF(A70="","",SUMIFS(Transactions!D:D,Transactions!B:B,A70,Transactions!C:C,"Sell"))</f>
        <v/>
      </c>
      <c r="H70">
        <f>IF(A70="","",IF(G70&lt;=0,0,MAX(0,MIN(C70,G70-SUMIFS(H$2:H$69,A$2:A$69,A70)))))</f>
        <v/>
      </c>
      <c r="I70">
        <f>IF(C70="","",MAX(0,C70-H70))</f>
        <v/>
      </c>
      <c r="J70">
        <f>IF(I70="","",I70*D70)</f>
        <v/>
      </c>
    </row>
    <row r="71">
      <c r="A71">
        <f>IFERROR(INDEX(SORT(FILTER(Transactions!B$2:B$1000,(Transactions!C$2:C$1000="Buy")*(Transactions!B$2:B$1000&lt;&gt;"")),1,1),70),"")</f>
        <v/>
      </c>
      <c r="B71">
        <f>IF(A71="","",INDEX(SORT(FILTER(Transactions!A$2:G$1000,(Transactions!C$2:C$1000="Buy")*(Transactions!B$2:B$1000&lt;&gt;"")),2,1),70,1))</f>
        <v/>
      </c>
      <c r="C71">
        <f>IF(A71="","",INDEX(SORT(FILTER(Transactions!A$2:G$1000,(Transactions!C$2:C$1000="Buy")*(Transactions!B$2:B$1000&lt;&gt;"")),2,1),70,4))</f>
        <v/>
      </c>
      <c r="D71">
        <f>IF(A71="","",INDEX(SORT(FILTER(Transactions!A$2:G$1000,(Transactions!C$2:C$1000="Buy")*(Transactions!B$2:B$1000&lt;&gt;"")),2,1),70,5))</f>
        <v/>
      </c>
      <c r="E71">
        <f>IF(C71="","",C71*D71)</f>
        <v/>
      </c>
      <c r="F71">
        <f>IF(A71="","",SUMIFS(C:C,A:A,A71,B:B,"&lt;="&amp;B71))</f>
        <v/>
      </c>
      <c r="G71">
        <f>IF(A71="","",SUMIFS(Transactions!D:D,Transactions!B:B,A71,Transactions!C:C,"Sell"))</f>
        <v/>
      </c>
      <c r="H71">
        <f>IF(A71="","",IF(G71&lt;=0,0,MAX(0,MIN(C71,G71-SUMIFS(H$2:H$70,A$2:A$70,A71)))))</f>
        <v/>
      </c>
      <c r="I71">
        <f>IF(C71="","",MAX(0,C71-H71))</f>
        <v/>
      </c>
      <c r="J71">
        <f>IF(I71="","",I71*D71)</f>
        <v/>
      </c>
    </row>
    <row r="72">
      <c r="A72">
        <f>IFERROR(INDEX(SORT(FILTER(Transactions!B$2:B$1000,(Transactions!C$2:C$1000="Buy")*(Transactions!B$2:B$1000&lt;&gt;"")),1,1),71),"")</f>
        <v/>
      </c>
      <c r="B72">
        <f>IF(A72="","",INDEX(SORT(FILTER(Transactions!A$2:G$1000,(Transactions!C$2:C$1000="Buy")*(Transactions!B$2:B$1000&lt;&gt;"")),2,1),71,1))</f>
        <v/>
      </c>
      <c r="C72">
        <f>IF(A72="","",INDEX(SORT(FILTER(Transactions!A$2:G$1000,(Transactions!C$2:C$1000="Buy")*(Transactions!B$2:B$1000&lt;&gt;"")),2,1),71,4))</f>
        <v/>
      </c>
      <c r="D72">
        <f>IF(A72="","",INDEX(SORT(FILTER(Transactions!A$2:G$1000,(Transactions!C$2:C$1000="Buy")*(Transactions!B$2:B$1000&lt;&gt;"")),2,1),71,5))</f>
        <v/>
      </c>
      <c r="E72">
        <f>IF(C72="","",C72*D72)</f>
        <v/>
      </c>
      <c r="F72">
        <f>IF(A72="","",SUMIFS(C:C,A:A,A72,B:B,"&lt;="&amp;B72))</f>
        <v/>
      </c>
      <c r="G72">
        <f>IF(A72="","",SUMIFS(Transactions!D:D,Transactions!B:B,A72,Transactions!C:C,"Sell"))</f>
        <v/>
      </c>
      <c r="H72">
        <f>IF(A72="","",IF(G72&lt;=0,0,MAX(0,MIN(C72,G72-SUMIFS(H$2:H$71,A$2:A$71,A72)))))</f>
        <v/>
      </c>
      <c r="I72">
        <f>IF(C72="","",MAX(0,C72-H72))</f>
        <v/>
      </c>
      <c r="J72">
        <f>IF(I72="","",I72*D72)</f>
        <v/>
      </c>
    </row>
    <row r="73">
      <c r="A73">
        <f>IFERROR(INDEX(SORT(FILTER(Transactions!B$2:B$1000,(Transactions!C$2:C$1000="Buy")*(Transactions!B$2:B$1000&lt;&gt;"")),1,1),72),"")</f>
        <v/>
      </c>
      <c r="B73">
        <f>IF(A73="","",INDEX(SORT(FILTER(Transactions!A$2:G$1000,(Transactions!C$2:C$1000="Buy")*(Transactions!B$2:B$1000&lt;&gt;"")),2,1),72,1))</f>
        <v/>
      </c>
      <c r="C73">
        <f>IF(A73="","",INDEX(SORT(FILTER(Transactions!A$2:G$1000,(Transactions!C$2:C$1000="Buy")*(Transactions!B$2:B$1000&lt;&gt;"")),2,1),72,4))</f>
        <v/>
      </c>
      <c r="D73">
        <f>IF(A73="","",INDEX(SORT(FILTER(Transactions!A$2:G$1000,(Transactions!C$2:C$1000="Buy")*(Transactions!B$2:B$1000&lt;&gt;"")),2,1),72,5))</f>
        <v/>
      </c>
      <c r="E73">
        <f>IF(C73="","",C73*D73)</f>
        <v/>
      </c>
      <c r="F73">
        <f>IF(A73="","",SUMIFS(C:C,A:A,A73,B:B,"&lt;="&amp;B73))</f>
        <v/>
      </c>
      <c r="G73">
        <f>IF(A73="","",SUMIFS(Transactions!D:D,Transactions!B:B,A73,Transactions!C:C,"Sell"))</f>
        <v/>
      </c>
      <c r="H73">
        <f>IF(A73="","",IF(G73&lt;=0,0,MAX(0,MIN(C73,G73-SUMIFS(H$2:H$72,A$2:A$72,A73)))))</f>
        <v/>
      </c>
      <c r="I73">
        <f>IF(C73="","",MAX(0,C73-H73))</f>
        <v/>
      </c>
      <c r="J73">
        <f>IF(I73="","",I73*D73)</f>
        <v/>
      </c>
    </row>
    <row r="74">
      <c r="A74">
        <f>IFERROR(INDEX(SORT(FILTER(Transactions!B$2:B$1000,(Transactions!C$2:C$1000="Buy")*(Transactions!B$2:B$1000&lt;&gt;"")),1,1),73),"")</f>
        <v/>
      </c>
      <c r="B74">
        <f>IF(A74="","",INDEX(SORT(FILTER(Transactions!A$2:G$1000,(Transactions!C$2:C$1000="Buy")*(Transactions!B$2:B$1000&lt;&gt;"")),2,1),73,1))</f>
        <v/>
      </c>
      <c r="C74">
        <f>IF(A74="","",INDEX(SORT(FILTER(Transactions!A$2:G$1000,(Transactions!C$2:C$1000="Buy")*(Transactions!B$2:B$1000&lt;&gt;"")),2,1),73,4))</f>
        <v/>
      </c>
      <c r="D74">
        <f>IF(A74="","",INDEX(SORT(FILTER(Transactions!A$2:G$1000,(Transactions!C$2:C$1000="Buy")*(Transactions!B$2:B$1000&lt;&gt;"")),2,1),73,5))</f>
        <v/>
      </c>
      <c r="E74">
        <f>IF(C74="","",C74*D74)</f>
        <v/>
      </c>
      <c r="F74">
        <f>IF(A74="","",SUMIFS(C:C,A:A,A74,B:B,"&lt;="&amp;B74))</f>
        <v/>
      </c>
      <c r="G74">
        <f>IF(A74="","",SUMIFS(Transactions!D:D,Transactions!B:B,A74,Transactions!C:C,"Sell"))</f>
        <v/>
      </c>
      <c r="H74">
        <f>IF(A74="","",IF(G74&lt;=0,0,MAX(0,MIN(C74,G74-SUMIFS(H$2:H$73,A$2:A$73,A74)))))</f>
        <v/>
      </c>
      <c r="I74">
        <f>IF(C74="","",MAX(0,C74-H74))</f>
        <v/>
      </c>
      <c r="J74">
        <f>IF(I74="","",I74*D74)</f>
        <v/>
      </c>
    </row>
    <row r="75">
      <c r="A75">
        <f>IFERROR(INDEX(SORT(FILTER(Transactions!B$2:B$1000,(Transactions!C$2:C$1000="Buy")*(Transactions!B$2:B$1000&lt;&gt;"")),1,1),74),"")</f>
        <v/>
      </c>
      <c r="B75">
        <f>IF(A75="","",INDEX(SORT(FILTER(Transactions!A$2:G$1000,(Transactions!C$2:C$1000="Buy")*(Transactions!B$2:B$1000&lt;&gt;"")),2,1),74,1))</f>
        <v/>
      </c>
      <c r="C75">
        <f>IF(A75="","",INDEX(SORT(FILTER(Transactions!A$2:G$1000,(Transactions!C$2:C$1000="Buy")*(Transactions!B$2:B$1000&lt;&gt;"")),2,1),74,4))</f>
        <v/>
      </c>
      <c r="D75">
        <f>IF(A75="","",INDEX(SORT(FILTER(Transactions!A$2:G$1000,(Transactions!C$2:C$1000="Buy")*(Transactions!B$2:B$1000&lt;&gt;"")),2,1),74,5))</f>
        <v/>
      </c>
      <c r="E75">
        <f>IF(C75="","",C75*D75)</f>
        <v/>
      </c>
      <c r="F75">
        <f>IF(A75="","",SUMIFS(C:C,A:A,A75,B:B,"&lt;="&amp;B75))</f>
        <v/>
      </c>
      <c r="G75">
        <f>IF(A75="","",SUMIFS(Transactions!D:D,Transactions!B:B,A75,Transactions!C:C,"Sell"))</f>
        <v/>
      </c>
      <c r="H75">
        <f>IF(A75="","",IF(G75&lt;=0,0,MAX(0,MIN(C75,G75-SUMIFS(H$2:H$74,A$2:A$74,A75)))))</f>
        <v/>
      </c>
      <c r="I75">
        <f>IF(C75="","",MAX(0,C75-H75))</f>
        <v/>
      </c>
      <c r="J75">
        <f>IF(I75="","",I75*D75)</f>
        <v/>
      </c>
    </row>
    <row r="76">
      <c r="A76">
        <f>IFERROR(INDEX(SORT(FILTER(Transactions!B$2:B$1000,(Transactions!C$2:C$1000="Buy")*(Transactions!B$2:B$1000&lt;&gt;"")),1,1),75),"")</f>
        <v/>
      </c>
      <c r="B76">
        <f>IF(A76="","",INDEX(SORT(FILTER(Transactions!A$2:G$1000,(Transactions!C$2:C$1000="Buy")*(Transactions!B$2:B$1000&lt;&gt;"")),2,1),75,1))</f>
        <v/>
      </c>
      <c r="C76">
        <f>IF(A76="","",INDEX(SORT(FILTER(Transactions!A$2:G$1000,(Transactions!C$2:C$1000="Buy")*(Transactions!B$2:B$1000&lt;&gt;"")),2,1),75,4))</f>
        <v/>
      </c>
      <c r="D76">
        <f>IF(A76="","",INDEX(SORT(FILTER(Transactions!A$2:G$1000,(Transactions!C$2:C$1000="Buy")*(Transactions!B$2:B$1000&lt;&gt;"")),2,1),75,5))</f>
        <v/>
      </c>
      <c r="E76">
        <f>IF(C76="","",C76*D76)</f>
        <v/>
      </c>
      <c r="F76">
        <f>IF(A76="","",SUMIFS(C:C,A:A,A76,B:B,"&lt;="&amp;B76))</f>
        <v/>
      </c>
      <c r="G76">
        <f>IF(A76="","",SUMIFS(Transactions!D:D,Transactions!B:B,A76,Transactions!C:C,"Sell"))</f>
        <v/>
      </c>
      <c r="H76">
        <f>IF(A76="","",IF(G76&lt;=0,0,MAX(0,MIN(C76,G76-SUMIFS(H$2:H$75,A$2:A$75,A76)))))</f>
        <v/>
      </c>
      <c r="I76">
        <f>IF(C76="","",MAX(0,C76-H76))</f>
        <v/>
      </c>
      <c r="J76">
        <f>IF(I76="","",I76*D76)</f>
        <v/>
      </c>
    </row>
    <row r="77">
      <c r="A77">
        <f>IFERROR(INDEX(SORT(FILTER(Transactions!B$2:B$1000,(Transactions!C$2:C$1000="Buy")*(Transactions!B$2:B$1000&lt;&gt;"")),1,1),76),"")</f>
        <v/>
      </c>
      <c r="B77">
        <f>IF(A77="","",INDEX(SORT(FILTER(Transactions!A$2:G$1000,(Transactions!C$2:C$1000="Buy")*(Transactions!B$2:B$1000&lt;&gt;"")),2,1),76,1))</f>
        <v/>
      </c>
      <c r="C77">
        <f>IF(A77="","",INDEX(SORT(FILTER(Transactions!A$2:G$1000,(Transactions!C$2:C$1000="Buy")*(Transactions!B$2:B$1000&lt;&gt;"")),2,1),76,4))</f>
        <v/>
      </c>
      <c r="D77">
        <f>IF(A77="","",INDEX(SORT(FILTER(Transactions!A$2:G$1000,(Transactions!C$2:C$1000="Buy")*(Transactions!B$2:B$1000&lt;&gt;"")),2,1),76,5))</f>
        <v/>
      </c>
      <c r="E77">
        <f>IF(C77="","",C77*D77)</f>
        <v/>
      </c>
      <c r="F77">
        <f>IF(A77="","",SUMIFS(C:C,A:A,A77,B:B,"&lt;="&amp;B77))</f>
        <v/>
      </c>
      <c r="G77">
        <f>IF(A77="","",SUMIFS(Transactions!D:D,Transactions!B:B,A77,Transactions!C:C,"Sell"))</f>
        <v/>
      </c>
      <c r="H77">
        <f>IF(A77="","",IF(G77&lt;=0,0,MAX(0,MIN(C77,G77-SUMIFS(H$2:H$76,A$2:A$76,A77)))))</f>
        <v/>
      </c>
      <c r="I77">
        <f>IF(C77="","",MAX(0,C77-H77))</f>
        <v/>
      </c>
      <c r="J77">
        <f>IF(I77="","",I77*D77)</f>
        <v/>
      </c>
    </row>
    <row r="78">
      <c r="A78">
        <f>IFERROR(INDEX(SORT(FILTER(Transactions!B$2:B$1000,(Transactions!C$2:C$1000="Buy")*(Transactions!B$2:B$1000&lt;&gt;"")),1,1),77),"")</f>
        <v/>
      </c>
      <c r="B78">
        <f>IF(A78="","",INDEX(SORT(FILTER(Transactions!A$2:G$1000,(Transactions!C$2:C$1000="Buy")*(Transactions!B$2:B$1000&lt;&gt;"")),2,1),77,1))</f>
        <v/>
      </c>
      <c r="C78">
        <f>IF(A78="","",INDEX(SORT(FILTER(Transactions!A$2:G$1000,(Transactions!C$2:C$1000="Buy")*(Transactions!B$2:B$1000&lt;&gt;"")),2,1),77,4))</f>
        <v/>
      </c>
      <c r="D78">
        <f>IF(A78="","",INDEX(SORT(FILTER(Transactions!A$2:G$1000,(Transactions!C$2:C$1000="Buy")*(Transactions!B$2:B$1000&lt;&gt;"")),2,1),77,5))</f>
        <v/>
      </c>
      <c r="E78">
        <f>IF(C78="","",C78*D78)</f>
        <v/>
      </c>
      <c r="F78">
        <f>IF(A78="","",SUMIFS(C:C,A:A,A78,B:B,"&lt;="&amp;B78))</f>
        <v/>
      </c>
      <c r="G78">
        <f>IF(A78="","",SUMIFS(Transactions!D:D,Transactions!B:B,A78,Transactions!C:C,"Sell"))</f>
        <v/>
      </c>
      <c r="H78">
        <f>IF(A78="","",IF(G78&lt;=0,0,MAX(0,MIN(C78,G78-SUMIFS(H$2:H$77,A$2:A$77,A78)))))</f>
        <v/>
      </c>
      <c r="I78">
        <f>IF(C78="","",MAX(0,C78-H78))</f>
        <v/>
      </c>
      <c r="J78">
        <f>IF(I78="","",I78*D78)</f>
        <v/>
      </c>
    </row>
    <row r="79">
      <c r="A79">
        <f>IFERROR(INDEX(SORT(FILTER(Transactions!B$2:B$1000,(Transactions!C$2:C$1000="Buy")*(Transactions!B$2:B$1000&lt;&gt;"")),1,1),78),"")</f>
        <v/>
      </c>
      <c r="B79">
        <f>IF(A79="","",INDEX(SORT(FILTER(Transactions!A$2:G$1000,(Transactions!C$2:C$1000="Buy")*(Transactions!B$2:B$1000&lt;&gt;"")),2,1),78,1))</f>
        <v/>
      </c>
      <c r="C79">
        <f>IF(A79="","",INDEX(SORT(FILTER(Transactions!A$2:G$1000,(Transactions!C$2:C$1000="Buy")*(Transactions!B$2:B$1000&lt;&gt;"")),2,1),78,4))</f>
        <v/>
      </c>
      <c r="D79">
        <f>IF(A79="","",INDEX(SORT(FILTER(Transactions!A$2:G$1000,(Transactions!C$2:C$1000="Buy")*(Transactions!B$2:B$1000&lt;&gt;"")),2,1),78,5))</f>
        <v/>
      </c>
      <c r="E79">
        <f>IF(C79="","",C79*D79)</f>
        <v/>
      </c>
      <c r="F79">
        <f>IF(A79="","",SUMIFS(C:C,A:A,A79,B:B,"&lt;="&amp;B79))</f>
        <v/>
      </c>
      <c r="G79">
        <f>IF(A79="","",SUMIFS(Transactions!D:D,Transactions!B:B,A79,Transactions!C:C,"Sell"))</f>
        <v/>
      </c>
      <c r="H79">
        <f>IF(A79="","",IF(G79&lt;=0,0,MAX(0,MIN(C79,G79-SUMIFS(H$2:H$78,A$2:A$78,A79)))))</f>
        <v/>
      </c>
      <c r="I79">
        <f>IF(C79="","",MAX(0,C79-H79))</f>
        <v/>
      </c>
      <c r="J79">
        <f>IF(I79="","",I79*D79)</f>
        <v/>
      </c>
    </row>
    <row r="80">
      <c r="A80">
        <f>IFERROR(INDEX(SORT(FILTER(Transactions!B$2:B$1000,(Transactions!C$2:C$1000="Buy")*(Transactions!B$2:B$1000&lt;&gt;"")),1,1),79),"")</f>
        <v/>
      </c>
      <c r="B80">
        <f>IF(A80="","",INDEX(SORT(FILTER(Transactions!A$2:G$1000,(Transactions!C$2:C$1000="Buy")*(Transactions!B$2:B$1000&lt;&gt;"")),2,1),79,1))</f>
        <v/>
      </c>
      <c r="C80">
        <f>IF(A80="","",INDEX(SORT(FILTER(Transactions!A$2:G$1000,(Transactions!C$2:C$1000="Buy")*(Transactions!B$2:B$1000&lt;&gt;"")),2,1),79,4))</f>
        <v/>
      </c>
      <c r="D80">
        <f>IF(A80="","",INDEX(SORT(FILTER(Transactions!A$2:G$1000,(Transactions!C$2:C$1000="Buy")*(Transactions!B$2:B$1000&lt;&gt;"")),2,1),79,5))</f>
        <v/>
      </c>
      <c r="E80">
        <f>IF(C80="","",C80*D80)</f>
        <v/>
      </c>
      <c r="F80">
        <f>IF(A80="","",SUMIFS(C:C,A:A,A80,B:B,"&lt;="&amp;B80))</f>
        <v/>
      </c>
      <c r="G80">
        <f>IF(A80="","",SUMIFS(Transactions!D:D,Transactions!B:B,A80,Transactions!C:C,"Sell"))</f>
        <v/>
      </c>
      <c r="H80">
        <f>IF(A80="","",IF(G80&lt;=0,0,MAX(0,MIN(C80,G80-SUMIFS(H$2:H$79,A$2:A$79,A80)))))</f>
        <v/>
      </c>
      <c r="I80">
        <f>IF(C80="","",MAX(0,C80-H80))</f>
        <v/>
      </c>
      <c r="J80">
        <f>IF(I80="","",I80*D80)</f>
        <v/>
      </c>
    </row>
    <row r="81">
      <c r="A81">
        <f>IFERROR(INDEX(SORT(FILTER(Transactions!B$2:B$1000,(Transactions!C$2:C$1000="Buy")*(Transactions!B$2:B$1000&lt;&gt;"")),1,1),80),"")</f>
        <v/>
      </c>
      <c r="B81">
        <f>IF(A81="","",INDEX(SORT(FILTER(Transactions!A$2:G$1000,(Transactions!C$2:C$1000="Buy")*(Transactions!B$2:B$1000&lt;&gt;"")),2,1),80,1))</f>
        <v/>
      </c>
      <c r="C81">
        <f>IF(A81="","",INDEX(SORT(FILTER(Transactions!A$2:G$1000,(Transactions!C$2:C$1000="Buy")*(Transactions!B$2:B$1000&lt;&gt;"")),2,1),80,4))</f>
        <v/>
      </c>
      <c r="D81">
        <f>IF(A81="","",INDEX(SORT(FILTER(Transactions!A$2:G$1000,(Transactions!C$2:C$1000="Buy")*(Transactions!B$2:B$1000&lt;&gt;"")),2,1),80,5))</f>
        <v/>
      </c>
      <c r="E81">
        <f>IF(C81="","",C81*D81)</f>
        <v/>
      </c>
      <c r="F81">
        <f>IF(A81="","",SUMIFS(C:C,A:A,A81,B:B,"&lt;="&amp;B81))</f>
        <v/>
      </c>
      <c r="G81">
        <f>IF(A81="","",SUMIFS(Transactions!D:D,Transactions!B:B,A81,Transactions!C:C,"Sell"))</f>
        <v/>
      </c>
      <c r="H81">
        <f>IF(A81="","",IF(G81&lt;=0,0,MAX(0,MIN(C81,G81-SUMIFS(H$2:H$80,A$2:A$80,A81)))))</f>
        <v/>
      </c>
      <c r="I81">
        <f>IF(C81="","",MAX(0,C81-H81))</f>
        <v/>
      </c>
      <c r="J81">
        <f>IF(I81="","",I81*D81)</f>
        <v/>
      </c>
    </row>
    <row r="82">
      <c r="A82">
        <f>IFERROR(INDEX(SORT(FILTER(Transactions!B$2:B$1000,(Transactions!C$2:C$1000="Buy")*(Transactions!B$2:B$1000&lt;&gt;"")),1,1),81),"")</f>
        <v/>
      </c>
      <c r="B82">
        <f>IF(A82="","",INDEX(SORT(FILTER(Transactions!A$2:G$1000,(Transactions!C$2:C$1000="Buy")*(Transactions!B$2:B$1000&lt;&gt;"")),2,1),81,1))</f>
        <v/>
      </c>
      <c r="C82">
        <f>IF(A82="","",INDEX(SORT(FILTER(Transactions!A$2:G$1000,(Transactions!C$2:C$1000="Buy")*(Transactions!B$2:B$1000&lt;&gt;"")),2,1),81,4))</f>
        <v/>
      </c>
      <c r="D82">
        <f>IF(A82="","",INDEX(SORT(FILTER(Transactions!A$2:G$1000,(Transactions!C$2:C$1000="Buy")*(Transactions!B$2:B$1000&lt;&gt;"")),2,1),81,5))</f>
        <v/>
      </c>
      <c r="E82">
        <f>IF(C82="","",C82*D82)</f>
        <v/>
      </c>
      <c r="F82">
        <f>IF(A82="","",SUMIFS(C:C,A:A,A82,B:B,"&lt;="&amp;B82))</f>
        <v/>
      </c>
      <c r="G82">
        <f>IF(A82="","",SUMIFS(Transactions!D:D,Transactions!B:B,A82,Transactions!C:C,"Sell"))</f>
        <v/>
      </c>
      <c r="H82">
        <f>IF(A82="","",IF(G82&lt;=0,0,MAX(0,MIN(C82,G82-SUMIFS(H$2:H$81,A$2:A$81,A82)))))</f>
        <v/>
      </c>
      <c r="I82">
        <f>IF(C82="","",MAX(0,C82-H82))</f>
        <v/>
      </c>
      <c r="J82">
        <f>IF(I82="","",I82*D82)</f>
        <v/>
      </c>
    </row>
    <row r="83">
      <c r="A83">
        <f>IFERROR(INDEX(SORT(FILTER(Transactions!B$2:B$1000,(Transactions!C$2:C$1000="Buy")*(Transactions!B$2:B$1000&lt;&gt;"")),1,1),82),"")</f>
        <v/>
      </c>
      <c r="B83">
        <f>IF(A83="","",INDEX(SORT(FILTER(Transactions!A$2:G$1000,(Transactions!C$2:C$1000="Buy")*(Transactions!B$2:B$1000&lt;&gt;"")),2,1),82,1))</f>
        <v/>
      </c>
      <c r="C83">
        <f>IF(A83="","",INDEX(SORT(FILTER(Transactions!A$2:G$1000,(Transactions!C$2:C$1000="Buy")*(Transactions!B$2:B$1000&lt;&gt;"")),2,1),82,4))</f>
        <v/>
      </c>
      <c r="D83">
        <f>IF(A83="","",INDEX(SORT(FILTER(Transactions!A$2:G$1000,(Transactions!C$2:C$1000="Buy")*(Transactions!B$2:B$1000&lt;&gt;"")),2,1),82,5))</f>
        <v/>
      </c>
      <c r="E83">
        <f>IF(C83="","",C83*D83)</f>
        <v/>
      </c>
      <c r="F83">
        <f>IF(A83="","",SUMIFS(C:C,A:A,A83,B:B,"&lt;="&amp;B83))</f>
        <v/>
      </c>
      <c r="G83">
        <f>IF(A83="","",SUMIFS(Transactions!D:D,Transactions!B:B,A83,Transactions!C:C,"Sell"))</f>
        <v/>
      </c>
      <c r="H83">
        <f>IF(A83="","",IF(G83&lt;=0,0,MAX(0,MIN(C83,G83-SUMIFS(H$2:H$82,A$2:A$82,A83)))))</f>
        <v/>
      </c>
      <c r="I83">
        <f>IF(C83="","",MAX(0,C83-H83))</f>
        <v/>
      </c>
      <c r="J83">
        <f>IF(I83="","",I83*D83)</f>
        <v/>
      </c>
    </row>
    <row r="84">
      <c r="A84">
        <f>IFERROR(INDEX(SORT(FILTER(Transactions!B$2:B$1000,(Transactions!C$2:C$1000="Buy")*(Transactions!B$2:B$1000&lt;&gt;"")),1,1),83),"")</f>
        <v/>
      </c>
      <c r="B84">
        <f>IF(A84="","",INDEX(SORT(FILTER(Transactions!A$2:G$1000,(Transactions!C$2:C$1000="Buy")*(Transactions!B$2:B$1000&lt;&gt;"")),2,1),83,1))</f>
        <v/>
      </c>
      <c r="C84">
        <f>IF(A84="","",INDEX(SORT(FILTER(Transactions!A$2:G$1000,(Transactions!C$2:C$1000="Buy")*(Transactions!B$2:B$1000&lt;&gt;"")),2,1),83,4))</f>
        <v/>
      </c>
      <c r="D84">
        <f>IF(A84="","",INDEX(SORT(FILTER(Transactions!A$2:G$1000,(Transactions!C$2:C$1000="Buy")*(Transactions!B$2:B$1000&lt;&gt;"")),2,1),83,5))</f>
        <v/>
      </c>
      <c r="E84">
        <f>IF(C84="","",C84*D84)</f>
        <v/>
      </c>
      <c r="F84">
        <f>IF(A84="","",SUMIFS(C:C,A:A,A84,B:B,"&lt;="&amp;B84))</f>
        <v/>
      </c>
      <c r="G84">
        <f>IF(A84="","",SUMIFS(Transactions!D:D,Transactions!B:B,A84,Transactions!C:C,"Sell"))</f>
        <v/>
      </c>
      <c r="H84">
        <f>IF(A84="","",IF(G84&lt;=0,0,MAX(0,MIN(C84,G84-SUMIFS(H$2:H$83,A$2:A$83,A84)))))</f>
        <v/>
      </c>
      <c r="I84">
        <f>IF(C84="","",MAX(0,C84-H84))</f>
        <v/>
      </c>
      <c r="J84">
        <f>IF(I84="","",I84*D84)</f>
        <v/>
      </c>
    </row>
    <row r="85">
      <c r="A85">
        <f>IFERROR(INDEX(SORT(FILTER(Transactions!B$2:B$1000,(Transactions!C$2:C$1000="Buy")*(Transactions!B$2:B$1000&lt;&gt;"")),1,1),84),"")</f>
        <v/>
      </c>
      <c r="B85">
        <f>IF(A85="","",INDEX(SORT(FILTER(Transactions!A$2:G$1000,(Transactions!C$2:C$1000="Buy")*(Transactions!B$2:B$1000&lt;&gt;"")),2,1),84,1))</f>
        <v/>
      </c>
      <c r="C85">
        <f>IF(A85="","",INDEX(SORT(FILTER(Transactions!A$2:G$1000,(Transactions!C$2:C$1000="Buy")*(Transactions!B$2:B$1000&lt;&gt;"")),2,1),84,4))</f>
        <v/>
      </c>
      <c r="D85">
        <f>IF(A85="","",INDEX(SORT(FILTER(Transactions!A$2:G$1000,(Transactions!C$2:C$1000="Buy")*(Transactions!B$2:B$1000&lt;&gt;"")),2,1),84,5))</f>
        <v/>
      </c>
      <c r="E85">
        <f>IF(C85="","",C85*D85)</f>
        <v/>
      </c>
      <c r="F85">
        <f>IF(A85="","",SUMIFS(C:C,A:A,A85,B:B,"&lt;="&amp;B85))</f>
        <v/>
      </c>
      <c r="G85">
        <f>IF(A85="","",SUMIFS(Transactions!D:D,Transactions!B:B,A85,Transactions!C:C,"Sell"))</f>
        <v/>
      </c>
      <c r="H85">
        <f>IF(A85="","",IF(G85&lt;=0,0,MAX(0,MIN(C85,G85-SUMIFS(H$2:H$84,A$2:A$84,A85)))))</f>
        <v/>
      </c>
      <c r="I85">
        <f>IF(C85="","",MAX(0,C85-H85))</f>
        <v/>
      </c>
      <c r="J85">
        <f>IF(I85="","",I85*D85)</f>
        <v/>
      </c>
    </row>
    <row r="86">
      <c r="A86">
        <f>IFERROR(INDEX(SORT(FILTER(Transactions!B$2:B$1000,(Transactions!C$2:C$1000="Buy")*(Transactions!B$2:B$1000&lt;&gt;"")),1,1),85),"")</f>
        <v/>
      </c>
      <c r="B86">
        <f>IF(A86="","",INDEX(SORT(FILTER(Transactions!A$2:G$1000,(Transactions!C$2:C$1000="Buy")*(Transactions!B$2:B$1000&lt;&gt;"")),2,1),85,1))</f>
        <v/>
      </c>
      <c r="C86">
        <f>IF(A86="","",INDEX(SORT(FILTER(Transactions!A$2:G$1000,(Transactions!C$2:C$1000="Buy")*(Transactions!B$2:B$1000&lt;&gt;"")),2,1),85,4))</f>
        <v/>
      </c>
      <c r="D86">
        <f>IF(A86="","",INDEX(SORT(FILTER(Transactions!A$2:G$1000,(Transactions!C$2:C$1000="Buy")*(Transactions!B$2:B$1000&lt;&gt;"")),2,1),85,5))</f>
        <v/>
      </c>
      <c r="E86">
        <f>IF(C86="","",C86*D86)</f>
        <v/>
      </c>
      <c r="F86">
        <f>IF(A86="","",SUMIFS(C:C,A:A,A86,B:B,"&lt;="&amp;B86))</f>
        <v/>
      </c>
      <c r="G86">
        <f>IF(A86="","",SUMIFS(Transactions!D:D,Transactions!B:B,A86,Transactions!C:C,"Sell"))</f>
        <v/>
      </c>
      <c r="H86">
        <f>IF(A86="","",IF(G86&lt;=0,0,MAX(0,MIN(C86,G86-SUMIFS(H$2:H$85,A$2:A$85,A86)))))</f>
        <v/>
      </c>
      <c r="I86">
        <f>IF(C86="","",MAX(0,C86-H86))</f>
        <v/>
      </c>
      <c r="J86">
        <f>IF(I86="","",I86*D86)</f>
        <v/>
      </c>
    </row>
    <row r="87">
      <c r="A87">
        <f>IFERROR(INDEX(SORT(FILTER(Transactions!B$2:B$1000,(Transactions!C$2:C$1000="Buy")*(Transactions!B$2:B$1000&lt;&gt;"")),1,1),86),"")</f>
        <v/>
      </c>
      <c r="B87">
        <f>IF(A87="","",INDEX(SORT(FILTER(Transactions!A$2:G$1000,(Transactions!C$2:C$1000="Buy")*(Transactions!B$2:B$1000&lt;&gt;"")),2,1),86,1))</f>
        <v/>
      </c>
      <c r="C87">
        <f>IF(A87="","",INDEX(SORT(FILTER(Transactions!A$2:G$1000,(Transactions!C$2:C$1000="Buy")*(Transactions!B$2:B$1000&lt;&gt;"")),2,1),86,4))</f>
        <v/>
      </c>
      <c r="D87">
        <f>IF(A87="","",INDEX(SORT(FILTER(Transactions!A$2:G$1000,(Transactions!C$2:C$1000="Buy")*(Transactions!B$2:B$1000&lt;&gt;"")),2,1),86,5))</f>
        <v/>
      </c>
      <c r="E87">
        <f>IF(C87="","",C87*D87)</f>
        <v/>
      </c>
      <c r="F87">
        <f>IF(A87="","",SUMIFS(C:C,A:A,A87,B:B,"&lt;="&amp;B87))</f>
        <v/>
      </c>
      <c r="G87">
        <f>IF(A87="","",SUMIFS(Transactions!D:D,Transactions!B:B,A87,Transactions!C:C,"Sell"))</f>
        <v/>
      </c>
      <c r="H87">
        <f>IF(A87="","",IF(G87&lt;=0,0,MAX(0,MIN(C87,G87-SUMIFS(H$2:H$86,A$2:A$86,A87)))))</f>
        <v/>
      </c>
      <c r="I87">
        <f>IF(C87="","",MAX(0,C87-H87))</f>
        <v/>
      </c>
      <c r="J87">
        <f>IF(I87="","",I87*D87)</f>
        <v/>
      </c>
    </row>
    <row r="88">
      <c r="A88">
        <f>IFERROR(INDEX(SORT(FILTER(Transactions!B$2:B$1000,(Transactions!C$2:C$1000="Buy")*(Transactions!B$2:B$1000&lt;&gt;"")),1,1),87),"")</f>
        <v/>
      </c>
      <c r="B88">
        <f>IF(A88="","",INDEX(SORT(FILTER(Transactions!A$2:G$1000,(Transactions!C$2:C$1000="Buy")*(Transactions!B$2:B$1000&lt;&gt;"")),2,1),87,1))</f>
        <v/>
      </c>
      <c r="C88">
        <f>IF(A88="","",INDEX(SORT(FILTER(Transactions!A$2:G$1000,(Transactions!C$2:C$1000="Buy")*(Transactions!B$2:B$1000&lt;&gt;"")),2,1),87,4))</f>
        <v/>
      </c>
      <c r="D88">
        <f>IF(A88="","",INDEX(SORT(FILTER(Transactions!A$2:G$1000,(Transactions!C$2:C$1000="Buy")*(Transactions!B$2:B$1000&lt;&gt;"")),2,1),87,5))</f>
        <v/>
      </c>
      <c r="E88">
        <f>IF(C88="","",C88*D88)</f>
        <v/>
      </c>
      <c r="F88">
        <f>IF(A88="","",SUMIFS(C:C,A:A,A88,B:B,"&lt;="&amp;B88))</f>
        <v/>
      </c>
      <c r="G88">
        <f>IF(A88="","",SUMIFS(Transactions!D:D,Transactions!B:B,A88,Transactions!C:C,"Sell"))</f>
        <v/>
      </c>
      <c r="H88">
        <f>IF(A88="","",IF(G88&lt;=0,0,MAX(0,MIN(C88,G88-SUMIFS(H$2:H$87,A$2:A$87,A88)))))</f>
        <v/>
      </c>
      <c r="I88">
        <f>IF(C88="","",MAX(0,C88-H88))</f>
        <v/>
      </c>
      <c r="J88">
        <f>IF(I88="","",I88*D88)</f>
        <v/>
      </c>
    </row>
    <row r="89">
      <c r="A89">
        <f>IFERROR(INDEX(SORT(FILTER(Transactions!B$2:B$1000,(Transactions!C$2:C$1000="Buy")*(Transactions!B$2:B$1000&lt;&gt;"")),1,1),88),"")</f>
        <v/>
      </c>
      <c r="B89">
        <f>IF(A89="","",INDEX(SORT(FILTER(Transactions!A$2:G$1000,(Transactions!C$2:C$1000="Buy")*(Transactions!B$2:B$1000&lt;&gt;"")),2,1),88,1))</f>
        <v/>
      </c>
      <c r="C89">
        <f>IF(A89="","",INDEX(SORT(FILTER(Transactions!A$2:G$1000,(Transactions!C$2:C$1000="Buy")*(Transactions!B$2:B$1000&lt;&gt;"")),2,1),88,4))</f>
        <v/>
      </c>
      <c r="D89">
        <f>IF(A89="","",INDEX(SORT(FILTER(Transactions!A$2:G$1000,(Transactions!C$2:C$1000="Buy")*(Transactions!B$2:B$1000&lt;&gt;"")),2,1),88,5))</f>
        <v/>
      </c>
      <c r="E89">
        <f>IF(C89="","",C89*D89)</f>
        <v/>
      </c>
      <c r="F89">
        <f>IF(A89="","",SUMIFS(C:C,A:A,A89,B:B,"&lt;="&amp;B89))</f>
        <v/>
      </c>
      <c r="G89">
        <f>IF(A89="","",SUMIFS(Transactions!D:D,Transactions!B:B,A89,Transactions!C:C,"Sell"))</f>
        <v/>
      </c>
      <c r="H89">
        <f>IF(A89="","",IF(G89&lt;=0,0,MAX(0,MIN(C89,G89-SUMIFS(H$2:H$88,A$2:A$88,A89)))))</f>
        <v/>
      </c>
      <c r="I89">
        <f>IF(C89="","",MAX(0,C89-H89))</f>
        <v/>
      </c>
      <c r="J89">
        <f>IF(I89="","",I89*D89)</f>
        <v/>
      </c>
    </row>
    <row r="90">
      <c r="A90">
        <f>IFERROR(INDEX(SORT(FILTER(Transactions!B$2:B$1000,(Transactions!C$2:C$1000="Buy")*(Transactions!B$2:B$1000&lt;&gt;"")),1,1),89),"")</f>
        <v/>
      </c>
      <c r="B90">
        <f>IF(A90="","",INDEX(SORT(FILTER(Transactions!A$2:G$1000,(Transactions!C$2:C$1000="Buy")*(Transactions!B$2:B$1000&lt;&gt;"")),2,1),89,1))</f>
        <v/>
      </c>
      <c r="C90">
        <f>IF(A90="","",INDEX(SORT(FILTER(Transactions!A$2:G$1000,(Transactions!C$2:C$1000="Buy")*(Transactions!B$2:B$1000&lt;&gt;"")),2,1),89,4))</f>
        <v/>
      </c>
      <c r="D90">
        <f>IF(A90="","",INDEX(SORT(FILTER(Transactions!A$2:G$1000,(Transactions!C$2:C$1000="Buy")*(Transactions!B$2:B$1000&lt;&gt;"")),2,1),89,5))</f>
        <v/>
      </c>
      <c r="E90">
        <f>IF(C90="","",C90*D90)</f>
        <v/>
      </c>
      <c r="F90">
        <f>IF(A90="","",SUMIFS(C:C,A:A,A90,B:B,"&lt;="&amp;B90))</f>
        <v/>
      </c>
      <c r="G90">
        <f>IF(A90="","",SUMIFS(Transactions!D:D,Transactions!B:B,A90,Transactions!C:C,"Sell"))</f>
        <v/>
      </c>
      <c r="H90">
        <f>IF(A90="","",IF(G90&lt;=0,0,MAX(0,MIN(C90,G90-SUMIFS(H$2:H$89,A$2:A$89,A90)))))</f>
        <v/>
      </c>
      <c r="I90">
        <f>IF(C90="","",MAX(0,C90-H90))</f>
        <v/>
      </c>
      <c r="J90">
        <f>IF(I90="","",I90*D90)</f>
        <v/>
      </c>
    </row>
    <row r="91">
      <c r="A91">
        <f>IFERROR(INDEX(SORT(FILTER(Transactions!B$2:B$1000,(Transactions!C$2:C$1000="Buy")*(Transactions!B$2:B$1000&lt;&gt;"")),1,1),90),"")</f>
        <v/>
      </c>
      <c r="B91">
        <f>IF(A91="","",INDEX(SORT(FILTER(Transactions!A$2:G$1000,(Transactions!C$2:C$1000="Buy")*(Transactions!B$2:B$1000&lt;&gt;"")),2,1),90,1))</f>
        <v/>
      </c>
      <c r="C91">
        <f>IF(A91="","",INDEX(SORT(FILTER(Transactions!A$2:G$1000,(Transactions!C$2:C$1000="Buy")*(Transactions!B$2:B$1000&lt;&gt;"")),2,1),90,4))</f>
        <v/>
      </c>
      <c r="D91">
        <f>IF(A91="","",INDEX(SORT(FILTER(Transactions!A$2:G$1000,(Transactions!C$2:C$1000="Buy")*(Transactions!B$2:B$1000&lt;&gt;"")),2,1),90,5))</f>
        <v/>
      </c>
      <c r="E91">
        <f>IF(C91="","",C91*D91)</f>
        <v/>
      </c>
      <c r="F91">
        <f>IF(A91="","",SUMIFS(C:C,A:A,A91,B:B,"&lt;="&amp;B91))</f>
        <v/>
      </c>
      <c r="G91">
        <f>IF(A91="","",SUMIFS(Transactions!D:D,Transactions!B:B,A91,Transactions!C:C,"Sell"))</f>
        <v/>
      </c>
      <c r="H91">
        <f>IF(A91="","",IF(G91&lt;=0,0,MAX(0,MIN(C91,G91-SUMIFS(H$2:H$90,A$2:A$90,A91)))))</f>
        <v/>
      </c>
      <c r="I91">
        <f>IF(C91="","",MAX(0,C91-H91))</f>
        <v/>
      </c>
      <c r="J91">
        <f>IF(I91="","",I91*D91)</f>
        <v/>
      </c>
    </row>
    <row r="92">
      <c r="A92">
        <f>IFERROR(INDEX(SORT(FILTER(Transactions!B$2:B$1000,(Transactions!C$2:C$1000="Buy")*(Transactions!B$2:B$1000&lt;&gt;"")),1,1),91),"")</f>
        <v/>
      </c>
      <c r="B92">
        <f>IF(A92="","",INDEX(SORT(FILTER(Transactions!A$2:G$1000,(Transactions!C$2:C$1000="Buy")*(Transactions!B$2:B$1000&lt;&gt;"")),2,1),91,1))</f>
        <v/>
      </c>
      <c r="C92">
        <f>IF(A92="","",INDEX(SORT(FILTER(Transactions!A$2:G$1000,(Transactions!C$2:C$1000="Buy")*(Transactions!B$2:B$1000&lt;&gt;"")),2,1),91,4))</f>
        <v/>
      </c>
      <c r="D92">
        <f>IF(A92="","",INDEX(SORT(FILTER(Transactions!A$2:G$1000,(Transactions!C$2:C$1000="Buy")*(Transactions!B$2:B$1000&lt;&gt;"")),2,1),91,5))</f>
        <v/>
      </c>
      <c r="E92">
        <f>IF(C92="","",C92*D92)</f>
        <v/>
      </c>
      <c r="F92">
        <f>IF(A92="","",SUMIFS(C:C,A:A,A92,B:B,"&lt;="&amp;B92))</f>
        <v/>
      </c>
      <c r="G92">
        <f>IF(A92="","",SUMIFS(Transactions!D:D,Transactions!B:B,A92,Transactions!C:C,"Sell"))</f>
        <v/>
      </c>
      <c r="H92">
        <f>IF(A92="","",IF(G92&lt;=0,0,MAX(0,MIN(C92,G92-SUMIFS(H$2:H$91,A$2:A$91,A92)))))</f>
        <v/>
      </c>
      <c r="I92">
        <f>IF(C92="","",MAX(0,C92-H92))</f>
        <v/>
      </c>
      <c r="J92">
        <f>IF(I92="","",I92*D92)</f>
        <v/>
      </c>
    </row>
    <row r="93">
      <c r="A93">
        <f>IFERROR(INDEX(SORT(FILTER(Transactions!B$2:B$1000,(Transactions!C$2:C$1000="Buy")*(Transactions!B$2:B$1000&lt;&gt;"")),1,1),92),"")</f>
        <v/>
      </c>
      <c r="B93">
        <f>IF(A93="","",INDEX(SORT(FILTER(Transactions!A$2:G$1000,(Transactions!C$2:C$1000="Buy")*(Transactions!B$2:B$1000&lt;&gt;"")),2,1),92,1))</f>
        <v/>
      </c>
      <c r="C93">
        <f>IF(A93="","",INDEX(SORT(FILTER(Transactions!A$2:G$1000,(Transactions!C$2:C$1000="Buy")*(Transactions!B$2:B$1000&lt;&gt;"")),2,1),92,4))</f>
        <v/>
      </c>
      <c r="D93">
        <f>IF(A93="","",INDEX(SORT(FILTER(Transactions!A$2:G$1000,(Transactions!C$2:C$1000="Buy")*(Transactions!B$2:B$1000&lt;&gt;"")),2,1),92,5))</f>
        <v/>
      </c>
      <c r="E93">
        <f>IF(C93="","",C93*D93)</f>
        <v/>
      </c>
      <c r="F93">
        <f>IF(A93="","",SUMIFS(C:C,A:A,A93,B:B,"&lt;="&amp;B93))</f>
        <v/>
      </c>
      <c r="G93">
        <f>IF(A93="","",SUMIFS(Transactions!D:D,Transactions!B:B,A93,Transactions!C:C,"Sell"))</f>
        <v/>
      </c>
      <c r="H93">
        <f>IF(A93="","",IF(G93&lt;=0,0,MAX(0,MIN(C93,G93-SUMIFS(H$2:H$92,A$2:A$92,A93)))))</f>
        <v/>
      </c>
      <c r="I93">
        <f>IF(C93="","",MAX(0,C93-H93))</f>
        <v/>
      </c>
      <c r="J93">
        <f>IF(I93="","",I93*D93)</f>
        <v/>
      </c>
    </row>
    <row r="94">
      <c r="A94">
        <f>IFERROR(INDEX(SORT(FILTER(Transactions!B$2:B$1000,(Transactions!C$2:C$1000="Buy")*(Transactions!B$2:B$1000&lt;&gt;"")),1,1),93),"")</f>
        <v/>
      </c>
      <c r="B94">
        <f>IF(A94="","",INDEX(SORT(FILTER(Transactions!A$2:G$1000,(Transactions!C$2:C$1000="Buy")*(Transactions!B$2:B$1000&lt;&gt;"")),2,1),93,1))</f>
        <v/>
      </c>
      <c r="C94">
        <f>IF(A94="","",INDEX(SORT(FILTER(Transactions!A$2:G$1000,(Transactions!C$2:C$1000="Buy")*(Transactions!B$2:B$1000&lt;&gt;"")),2,1),93,4))</f>
        <v/>
      </c>
      <c r="D94">
        <f>IF(A94="","",INDEX(SORT(FILTER(Transactions!A$2:G$1000,(Transactions!C$2:C$1000="Buy")*(Transactions!B$2:B$1000&lt;&gt;"")),2,1),93,5))</f>
        <v/>
      </c>
      <c r="E94">
        <f>IF(C94="","",C94*D94)</f>
        <v/>
      </c>
      <c r="F94">
        <f>IF(A94="","",SUMIFS(C:C,A:A,A94,B:B,"&lt;="&amp;B94))</f>
        <v/>
      </c>
      <c r="G94">
        <f>IF(A94="","",SUMIFS(Transactions!D:D,Transactions!B:B,A94,Transactions!C:C,"Sell"))</f>
        <v/>
      </c>
      <c r="H94">
        <f>IF(A94="","",IF(G94&lt;=0,0,MAX(0,MIN(C94,G94-SUMIFS(H$2:H$93,A$2:A$93,A94)))))</f>
        <v/>
      </c>
      <c r="I94">
        <f>IF(C94="","",MAX(0,C94-H94))</f>
        <v/>
      </c>
      <c r="J94">
        <f>IF(I94="","",I94*D94)</f>
        <v/>
      </c>
    </row>
    <row r="95">
      <c r="A95">
        <f>IFERROR(INDEX(SORT(FILTER(Transactions!B$2:B$1000,(Transactions!C$2:C$1000="Buy")*(Transactions!B$2:B$1000&lt;&gt;"")),1,1),94),"")</f>
        <v/>
      </c>
      <c r="B95">
        <f>IF(A95="","",INDEX(SORT(FILTER(Transactions!A$2:G$1000,(Transactions!C$2:C$1000="Buy")*(Transactions!B$2:B$1000&lt;&gt;"")),2,1),94,1))</f>
        <v/>
      </c>
      <c r="C95">
        <f>IF(A95="","",INDEX(SORT(FILTER(Transactions!A$2:G$1000,(Transactions!C$2:C$1000="Buy")*(Transactions!B$2:B$1000&lt;&gt;"")),2,1),94,4))</f>
        <v/>
      </c>
      <c r="D95">
        <f>IF(A95="","",INDEX(SORT(FILTER(Transactions!A$2:G$1000,(Transactions!C$2:C$1000="Buy")*(Transactions!B$2:B$1000&lt;&gt;"")),2,1),94,5))</f>
        <v/>
      </c>
      <c r="E95">
        <f>IF(C95="","",C95*D95)</f>
        <v/>
      </c>
      <c r="F95">
        <f>IF(A95="","",SUMIFS(C:C,A:A,A95,B:B,"&lt;="&amp;B95))</f>
        <v/>
      </c>
      <c r="G95">
        <f>IF(A95="","",SUMIFS(Transactions!D:D,Transactions!B:B,A95,Transactions!C:C,"Sell"))</f>
        <v/>
      </c>
      <c r="H95">
        <f>IF(A95="","",IF(G95&lt;=0,0,MAX(0,MIN(C95,G95-SUMIFS(H$2:H$94,A$2:A$94,A95)))))</f>
        <v/>
      </c>
      <c r="I95">
        <f>IF(C95="","",MAX(0,C95-H95))</f>
        <v/>
      </c>
      <c r="J95">
        <f>IF(I95="","",I95*D95)</f>
        <v/>
      </c>
    </row>
    <row r="96">
      <c r="A96">
        <f>IFERROR(INDEX(SORT(FILTER(Transactions!B$2:B$1000,(Transactions!C$2:C$1000="Buy")*(Transactions!B$2:B$1000&lt;&gt;"")),1,1),95),"")</f>
        <v/>
      </c>
      <c r="B96">
        <f>IF(A96="","",INDEX(SORT(FILTER(Transactions!A$2:G$1000,(Transactions!C$2:C$1000="Buy")*(Transactions!B$2:B$1000&lt;&gt;"")),2,1),95,1))</f>
        <v/>
      </c>
      <c r="C96">
        <f>IF(A96="","",INDEX(SORT(FILTER(Transactions!A$2:G$1000,(Transactions!C$2:C$1000="Buy")*(Transactions!B$2:B$1000&lt;&gt;"")),2,1),95,4))</f>
        <v/>
      </c>
      <c r="D96">
        <f>IF(A96="","",INDEX(SORT(FILTER(Transactions!A$2:G$1000,(Transactions!C$2:C$1000="Buy")*(Transactions!B$2:B$1000&lt;&gt;"")),2,1),95,5))</f>
        <v/>
      </c>
      <c r="E96">
        <f>IF(C96="","",C96*D96)</f>
        <v/>
      </c>
      <c r="F96">
        <f>IF(A96="","",SUMIFS(C:C,A:A,A96,B:B,"&lt;="&amp;B96))</f>
        <v/>
      </c>
      <c r="G96">
        <f>IF(A96="","",SUMIFS(Transactions!D:D,Transactions!B:B,A96,Transactions!C:C,"Sell"))</f>
        <v/>
      </c>
      <c r="H96">
        <f>IF(A96="","",IF(G96&lt;=0,0,MAX(0,MIN(C96,G96-SUMIFS(H$2:H$95,A$2:A$95,A96)))))</f>
        <v/>
      </c>
      <c r="I96">
        <f>IF(C96="","",MAX(0,C96-H96))</f>
        <v/>
      </c>
      <c r="J96">
        <f>IF(I96="","",I96*D96)</f>
        <v/>
      </c>
    </row>
    <row r="97">
      <c r="A97">
        <f>IFERROR(INDEX(SORT(FILTER(Transactions!B$2:B$1000,(Transactions!C$2:C$1000="Buy")*(Transactions!B$2:B$1000&lt;&gt;"")),1,1),96),"")</f>
        <v/>
      </c>
      <c r="B97">
        <f>IF(A97="","",INDEX(SORT(FILTER(Transactions!A$2:G$1000,(Transactions!C$2:C$1000="Buy")*(Transactions!B$2:B$1000&lt;&gt;"")),2,1),96,1))</f>
        <v/>
      </c>
      <c r="C97">
        <f>IF(A97="","",INDEX(SORT(FILTER(Transactions!A$2:G$1000,(Transactions!C$2:C$1000="Buy")*(Transactions!B$2:B$1000&lt;&gt;"")),2,1),96,4))</f>
        <v/>
      </c>
      <c r="D97">
        <f>IF(A97="","",INDEX(SORT(FILTER(Transactions!A$2:G$1000,(Transactions!C$2:C$1000="Buy")*(Transactions!B$2:B$1000&lt;&gt;"")),2,1),96,5))</f>
        <v/>
      </c>
      <c r="E97">
        <f>IF(C97="","",C97*D97)</f>
        <v/>
      </c>
      <c r="F97">
        <f>IF(A97="","",SUMIFS(C:C,A:A,A97,B:B,"&lt;="&amp;B97))</f>
        <v/>
      </c>
      <c r="G97">
        <f>IF(A97="","",SUMIFS(Transactions!D:D,Transactions!B:B,A97,Transactions!C:C,"Sell"))</f>
        <v/>
      </c>
      <c r="H97">
        <f>IF(A97="","",IF(G97&lt;=0,0,MAX(0,MIN(C97,G97-SUMIFS(H$2:H$96,A$2:A$96,A97)))))</f>
        <v/>
      </c>
      <c r="I97">
        <f>IF(C97="","",MAX(0,C97-H97))</f>
        <v/>
      </c>
      <c r="J97">
        <f>IF(I97="","",I97*D97)</f>
        <v/>
      </c>
    </row>
    <row r="98">
      <c r="A98">
        <f>IFERROR(INDEX(SORT(FILTER(Transactions!B$2:B$1000,(Transactions!C$2:C$1000="Buy")*(Transactions!B$2:B$1000&lt;&gt;"")),1,1),97),"")</f>
        <v/>
      </c>
      <c r="B98">
        <f>IF(A98="","",INDEX(SORT(FILTER(Transactions!A$2:G$1000,(Transactions!C$2:C$1000="Buy")*(Transactions!B$2:B$1000&lt;&gt;"")),2,1),97,1))</f>
        <v/>
      </c>
      <c r="C98">
        <f>IF(A98="","",INDEX(SORT(FILTER(Transactions!A$2:G$1000,(Transactions!C$2:C$1000="Buy")*(Transactions!B$2:B$1000&lt;&gt;"")),2,1),97,4))</f>
        <v/>
      </c>
      <c r="D98">
        <f>IF(A98="","",INDEX(SORT(FILTER(Transactions!A$2:G$1000,(Transactions!C$2:C$1000="Buy")*(Transactions!B$2:B$1000&lt;&gt;"")),2,1),97,5))</f>
        <v/>
      </c>
      <c r="E98">
        <f>IF(C98="","",C98*D98)</f>
        <v/>
      </c>
      <c r="F98">
        <f>IF(A98="","",SUMIFS(C:C,A:A,A98,B:B,"&lt;="&amp;B98))</f>
        <v/>
      </c>
      <c r="G98">
        <f>IF(A98="","",SUMIFS(Transactions!D:D,Transactions!B:B,A98,Transactions!C:C,"Sell"))</f>
        <v/>
      </c>
      <c r="H98">
        <f>IF(A98="","",IF(G98&lt;=0,0,MAX(0,MIN(C98,G98-SUMIFS(H$2:H$97,A$2:A$97,A98)))))</f>
        <v/>
      </c>
      <c r="I98">
        <f>IF(C98="","",MAX(0,C98-H98))</f>
        <v/>
      </c>
      <c r="J98">
        <f>IF(I98="","",I98*D98)</f>
        <v/>
      </c>
    </row>
    <row r="99">
      <c r="A99">
        <f>IFERROR(INDEX(SORT(FILTER(Transactions!B$2:B$1000,(Transactions!C$2:C$1000="Buy")*(Transactions!B$2:B$1000&lt;&gt;"")),1,1),98),"")</f>
        <v/>
      </c>
      <c r="B99">
        <f>IF(A99="","",INDEX(SORT(FILTER(Transactions!A$2:G$1000,(Transactions!C$2:C$1000="Buy")*(Transactions!B$2:B$1000&lt;&gt;"")),2,1),98,1))</f>
        <v/>
      </c>
      <c r="C99">
        <f>IF(A99="","",INDEX(SORT(FILTER(Transactions!A$2:G$1000,(Transactions!C$2:C$1000="Buy")*(Transactions!B$2:B$1000&lt;&gt;"")),2,1),98,4))</f>
        <v/>
      </c>
      <c r="D99">
        <f>IF(A99="","",INDEX(SORT(FILTER(Transactions!A$2:G$1000,(Transactions!C$2:C$1000="Buy")*(Transactions!B$2:B$1000&lt;&gt;"")),2,1),98,5))</f>
        <v/>
      </c>
      <c r="E99">
        <f>IF(C99="","",C99*D99)</f>
        <v/>
      </c>
      <c r="F99">
        <f>IF(A99="","",SUMIFS(C:C,A:A,A99,B:B,"&lt;="&amp;B99))</f>
        <v/>
      </c>
      <c r="G99">
        <f>IF(A99="","",SUMIFS(Transactions!D:D,Transactions!B:B,A99,Transactions!C:C,"Sell"))</f>
        <v/>
      </c>
      <c r="H99">
        <f>IF(A99="","",IF(G99&lt;=0,0,MAX(0,MIN(C99,G99-SUMIFS(H$2:H$98,A$2:A$98,A99)))))</f>
        <v/>
      </c>
      <c r="I99">
        <f>IF(C99="","",MAX(0,C99-H99))</f>
        <v/>
      </c>
      <c r="J99">
        <f>IF(I99="","",I99*D99)</f>
        <v/>
      </c>
    </row>
    <row r="100">
      <c r="A100">
        <f>IFERROR(INDEX(SORT(FILTER(Transactions!B$2:B$1000,(Transactions!C$2:C$1000="Buy")*(Transactions!B$2:B$1000&lt;&gt;"")),1,1),99),"")</f>
        <v/>
      </c>
      <c r="B100">
        <f>IF(A100="","",INDEX(SORT(FILTER(Transactions!A$2:G$1000,(Transactions!C$2:C$1000="Buy")*(Transactions!B$2:B$1000&lt;&gt;"")),2,1),99,1))</f>
        <v/>
      </c>
      <c r="C100">
        <f>IF(A100="","",INDEX(SORT(FILTER(Transactions!A$2:G$1000,(Transactions!C$2:C$1000="Buy")*(Transactions!B$2:B$1000&lt;&gt;"")),2,1),99,4))</f>
        <v/>
      </c>
      <c r="D100">
        <f>IF(A100="","",INDEX(SORT(FILTER(Transactions!A$2:G$1000,(Transactions!C$2:C$1000="Buy")*(Transactions!B$2:B$1000&lt;&gt;"")),2,1),99,5))</f>
        <v/>
      </c>
      <c r="E100">
        <f>IF(C100="","",C100*D100)</f>
        <v/>
      </c>
      <c r="F100">
        <f>IF(A100="","",SUMIFS(C:C,A:A,A100,B:B,"&lt;="&amp;B100))</f>
        <v/>
      </c>
      <c r="G100">
        <f>IF(A100="","",SUMIFS(Transactions!D:D,Transactions!B:B,A100,Transactions!C:C,"Sell"))</f>
        <v/>
      </c>
      <c r="H100">
        <f>IF(A100="","",IF(G100&lt;=0,0,MAX(0,MIN(C100,G100-SUMIFS(H$2:H$99,A$2:A$99,A100)))))</f>
        <v/>
      </c>
      <c r="I100">
        <f>IF(C100="","",MAX(0,C100-H100))</f>
        <v/>
      </c>
      <c r="J100">
        <f>IF(I100="","",I100*D100)</f>
        <v/>
      </c>
    </row>
    <row r="101">
      <c r="A101">
        <f>IFERROR(INDEX(SORT(FILTER(Transactions!B$2:B$1000,(Transactions!C$2:C$1000="Buy")*(Transactions!B$2:B$1000&lt;&gt;"")),1,1),100),"")</f>
        <v/>
      </c>
      <c r="B101">
        <f>IF(A101="","",INDEX(SORT(FILTER(Transactions!A$2:G$1000,(Transactions!C$2:C$1000="Buy")*(Transactions!B$2:B$1000&lt;&gt;"")),2,1),100,1))</f>
        <v/>
      </c>
      <c r="C101">
        <f>IF(A101="","",INDEX(SORT(FILTER(Transactions!A$2:G$1000,(Transactions!C$2:C$1000="Buy")*(Transactions!B$2:B$1000&lt;&gt;"")),2,1),100,4))</f>
        <v/>
      </c>
      <c r="D101">
        <f>IF(A101="","",INDEX(SORT(FILTER(Transactions!A$2:G$1000,(Transactions!C$2:C$1000="Buy")*(Transactions!B$2:B$1000&lt;&gt;"")),2,1),100,5))</f>
        <v/>
      </c>
      <c r="E101">
        <f>IF(C101="","",C101*D101)</f>
        <v/>
      </c>
      <c r="F101">
        <f>IF(A101="","",SUMIFS(C:C,A:A,A101,B:B,"&lt;="&amp;B101))</f>
        <v/>
      </c>
      <c r="G101">
        <f>IF(A101="","",SUMIFS(Transactions!D:D,Transactions!B:B,A101,Transactions!C:C,"Sell"))</f>
        <v/>
      </c>
      <c r="H101">
        <f>IF(A101="","",IF(G101&lt;=0,0,MAX(0,MIN(C101,G101-SUMIFS(H$2:H$100,A$2:A$100,A101)))))</f>
        <v/>
      </c>
      <c r="I101">
        <f>IF(C101="","",MAX(0,C101-H101))</f>
        <v/>
      </c>
      <c r="J101">
        <f>IF(I101="","",I101*D101)</f>
        <v/>
      </c>
    </row>
    <row r="102">
      <c r="A102">
        <f>IFERROR(INDEX(SORT(FILTER(Transactions!B$2:B$1000,(Transactions!C$2:C$1000="Buy")*(Transactions!B$2:B$1000&lt;&gt;"")),1,1),101),"")</f>
        <v/>
      </c>
      <c r="B102">
        <f>IF(A102="","",INDEX(SORT(FILTER(Transactions!A$2:G$1000,(Transactions!C$2:C$1000="Buy")*(Transactions!B$2:B$1000&lt;&gt;"")),2,1),101,1))</f>
        <v/>
      </c>
      <c r="C102">
        <f>IF(A102="","",INDEX(SORT(FILTER(Transactions!A$2:G$1000,(Transactions!C$2:C$1000="Buy")*(Transactions!B$2:B$1000&lt;&gt;"")),2,1),101,4))</f>
        <v/>
      </c>
      <c r="D102">
        <f>IF(A102="","",INDEX(SORT(FILTER(Transactions!A$2:G$1000,(Transactions!C$2:C$1000="Buy")*(Transactions!B$2:B$1000&lt;&gt;"")),2,1),101,5))</f>
        <v/>
      </c>
      <c r="E102">
        <f>IF(C102="","",C102*D102)</f>
        <v/>
      </c>
      <c r="F102">
        <f>IF(A102="","",SUMIFS(C:C,A:A,A102,B:B,"&lt;="&amp;B102))</f>
        <v/>
      </c>
      <c r="G102">
        <f>IF(A102="","",SUMIFS(Transactions!D:D,Transactions!B:B,A102,Transactions!C:C,"Sell"))</f>
        <v/>
      </c>
      <c r="H102">
        <f>IF(A102="","",IF(G102&lt;=0,0,MAX(0,MIN(C102,G102-SUMIFS(H$2:H$101,A$2:A$101,A102)))))</f>
        <v/>
      </c>
      <c r="I102">
        <f>IF(C102="","",MAX(0,C102-H102))</f>
        <v/>
      </c>
      <c r="J102">
        <f>IF(I102="","",I102*D102)</f>
        <v/>
      </c>
    </row>
    <row r="103">
      <c r="A103">
        <f>IFERROR(INDEX(SORT(FILTER(Transactions!B$2:B$1000,(Transactions!C$2:C$1000="Buy")*(Transactions!B$2:B$1000&lt;&gt;"")),1,1),102),"")</f>
        <v/>
      </c>
      <c r="B103">
        <f>IF(A103="","",INDEX(SORT(FILTER(Transactions!A$2:G$1000,(Transactions!C$2:C$1000="Buy")*(Transactions!B$2:B$1000&lt;&gt;"")),2,1),102,1))</f>
        <v/>
      </c>
      <c r="C103">
        <f>IF(A103="","",INDEX(SORT(FILTER(Transactions!A$2:G$1000,(Transactions!C$2:C$1000="Buy")*(Transactions!B$2:B$1000&lt;&gt;"")),2,1),102,4))</f>
        <v/>
      </c>
      <c r="D103">
        <f>IF(A103="","",INDEX(SORT(FILTER(Transactions!A$2:G$1000,(Transactions!C$2:C$1000="Buy")*(Transactions!B$2:B$1000&lt;&gt;"")),2,1),102,5))</f>
        <v/>
      </c>
      <c r="E103">
        <f>IF(C103="","",C103*D103)</f>
        <v/>
      </c>
      <c r="F103">
        <f>IF(A103="","",SUMIFS(C:C,A:A,A103,B:B,"&lt;="&amp;B103))</f>
        <v/>
      </c>
      <c r="G103">
        <f>IF(A103="","",SUMIFS(Transactions!D:D,Transactions!B:B,A103,Transactions!C:C,"Sell"))</f>
        <v/>
      </c>
      <c r="H103">
        <f>IF(A103="","",IF(G103&lt;=0,0,MAX(0,MIN(C103,G103-SUMIFS(H$2:H$102,A$2:A$102,A103)))))</f>
        <v/>
      </c>
      <c r="I103">
        <f>IF(C103="","",MAX(0,C103-H103))</f>
        <v/>
      </c>
      <c r="J103">
        <f>IF(I103="","",I103*D103)</f>
        <v/>
      </c>
    </row>
    <row r="104">
      <c r="A104">
        <f>IFERROR(INDEX(SORT(FILTER(Transactions!B$2:B$1000,(Transactions!C$2:C$1000="Buy")*(Transactions!B$2:B$1000&lt;&gt;"")),1,1),103),"")</f>
        <v/>
      </c>
      <c r="B104">
        <f>IF(A104="","",INDEX(SORT(FILTER(Transactions!A$2:G$1000,(Transactions!C$2:C$1000="Buy")*(Transactions!B$2:B$1000&lt;&gt;"")),2,1),103,1))</f>
        <v/>
      </c>
      <c r="C104">
        <f>IF(A104="","",INDEX(SORT(FILTER(Transactions!A$2:G$1000,(Transactions!C$2:C$1000="Buy")*(Transactions!B$2:B$1000&lt;&gt;"")),2,1),103,4))</f>
        <v/>
      </c>
      <c r="D104">
        <f>IF(A104="","",INDEX(SORT(FILTER(Transactions!A$2:G$1000,(Transactions!C$2:C$1000="Buy")*(Transactions!B$2:B$1000&lt;&gt;"")),2,1),103,5))</f>
        <v/>
      </c>
      <c r="E104">
        <f>IF(C104="","",C104*D104)</f>
        <v/>
      </c>
      <c r="F104">
        <f>IF(A104="","",SUMIFS(C:C,A:A,A104,B:B,"&lt;="&amp;B104))</f>
        <v/>
      </c>
      <c r="G104">
        <f>IF(A104="","",SUMIFS(Transactions!D:D,Transactions!B:B,A104,Transactions!C:C,"Sell"))</f>
        <v/>
      </c>
      <c r="H104">
        <f>IF(A104="","",IF(G104&lt;=0,0,MAX(0,MIN(C104,G104-SUMIFS(H$2:H$103,A$2:A$103,A104)))))</f>
        <v/>
      </c>
      <c r="I104">
        <f>IF(C104="","",MAX(0,C104-H104))</f>
        <v/>
      </c>
      <c r="J104">
        <f>IF(I104="","",I104*D104)</f>
        <v/>
      </c>
    </row>
    <row r="105">
      <c r="A105">
        <f>IFERROR(INDEX(SORT(FILTER(Transactions!B$2:B$1000,(Transactions!C$2:C$1000="Buy")*(Transactions!B$2:B$1000&lt;&gt;"")),1,1),104),"")</f>
        <v/>
      </c>
      <c r="B105">
        <f>IF(A105="","",INDEX(SORT(FILTER(Transactions!A$2:G$1000,(Transactions!C$2:C$1000="Buy")*(Transactions!B$2:B$1000&lt;&gt;"")),2,1),104,1))</f>
        <v/>
      </c>
      <c r="C105">
        <f>IF(A105="","",INDEX(SORT(FILTER(Transactions!A$2:G$1000,(Transactions!C$2:C$1000="Buy")*(Transactions!B$2:B$1000&lt;&gt;"")),2,1),104,4))</f>
        <v/>
      </c>
      <c r="D105">
        <f>IF(A105="","",INDEX(SORT(FILTER(Transactions!A$2:G$1000,(Transactions!C$2:C$1000="Buy")*(Transactions!B$2:B$1000&lt;&gt;"")),2,1),104,5))</f>
        <v/>
      </c>
      <c r="E105">
        <f>IF(C105="","",C105*D105)</f>
        <v/>
      </c>
      <c r="F105">
        <f>IF(A105="","",SUMIFS(C:C,A:A,A105,B:B,"&lt;="&amp;B105))</f>
        <v/>
      </c>
      <c r="G105">
        <f>IF(A105="","",SUMIFS(Transactions!D:D,Transactions!B:B,A105,Transactions!C:C,"Sell"))</f>
        <v/>
      </c>
      <c r="H105">
        <f>IF(A105="","",IF(G105&lt;=0,0,MAX(0,MIN(C105,G105-SUMIFS(H$2:H$104,A$2:A$104,A105)))))</f>
        <v/>
      </c>
      <c r="I105">
        <f>IF(C105="","",MAX(0,C105-H105))</f>
        <v/>
      </c>
      <c r="J105">
        <f>IF(I105="","",I105*D105)</f>
        <v/>
      </c>
    </row>
    <row r="106">
      <c r="A106">
        <f>IFERROR(INDEX(SORT(FILTER(Transactions!B$2:B$1000,(Transactions!C$2:C$1000="Buy")*(Transactions!B$2:B$1000&lt;&gt;"")),1,1),105),"")</f>
        <v/>
      </c>
      <c r="B106">
        <f>IF(A106="","",INDEX(SORT(FILTER(Transactions!A$2:G$1000,(Transactions!C$2:C$1000="Buy")*(Transactions!B$2:B$1000&lt;&gt;"")),2,1),105,1))</f>
        <v/>
      </c>
      <c r="C106">
        <f>IF(A106="","",INDEX(SORT(FILTER(Transactions!A$2:G$1000,(Transactions!C$2:C$1000="Buy")*(Transactions!B$2:B$1000&lt;&gt;"")),2,1),105,4))</f>
        <v/>
      </c>
      <c r="D106">
        <f>IF(A106="","",INDEX(SORT(FILTER(Transactions!A$2:G$1000,(Transactions!C$2:C$1000="Buy")*(Transactions!B$2:B$1000&lt;&gt;"")),2,1),105,5))</f>
        <v/>
      </c>
      <c r="E106">
        <f>IF(C106="","",C106*D106)</f>
        <v/>
      </c>
      <c r="F106">
        <f>IF(A106="","",SUMIFS(C:C,A:A,A106,B:B,"&lt;="&amp;B106))</f>
        <v/>
      </c>
      <c r="G106">
        <f>IF(A106="","",SUMIFS(Transactions!D:D,Transactions!B:B,A106,Transactions!C:C,"Sell"))</f>
        <v/>
      </c>
      <c r="H106">
        <f>IF(A106="","",IF(G106&lt;=0,0,MAX(0,MIN(C106,G106-SUMIFS(H$2:H$105,A$2:A$105,A106)))))</f>
        <v/>
      </c>
      <c r="I106">
        <f>IF(C106="","",MAX(0,C106-H106))</f>
        <v/>
      </c>
      <c r="J106">
        <f>IF(I106="","",I106*D106)</f>
        <v/>
      </c>
    </row>
    <row r="107">
      <c r="A107">
        <f>IFERROR(INDEX(SORT(FILTER(Transactions!B$2:B$1000,(Transactions!C$2:C$1000="Buy")*(Transactions!B$2:B$1000&lt;&gt;"")),1,1),106),"")</f>
        <v/>
      </c>
      <c r="B107">
        <f>IF(A107="","",INDEX(SORT(FILTER(Transactions!A$2:G$1000,(Transactions!C$2:C$1000="Buy")*(Transactions!B$2:B$1000&lt;&gt;"")),2,1),106,1))</f>
        <v/>
      </c>
      <c r="C107">
        <f>IF(A107="","",INDEX(SORT(FILTER(Transactions!A$2:G$1000,(Transactions!C$2:C$1000="Buy")*(Transactions!B$2:B$1000&lt;&gt;"")),2,1),106,4))</f>
        <v/>
      </c>
      <c r="D107">
        <f>IF(A107="","",INDEX(SORT(FILTER(Transactions!A$2:G$1000,(Transactions!C$2:C$1000="Buy")*(Transactions!B$2:B$1000&lt;&gt;"")),2,1),106,5))</f>
        <v/>
      </c>
      <c r="E107">
        <f>IF(C107="","",C107*D107)</f>
        <v/>
      </c>
      <c r="F107">
        <f>IF(A107="","",SUMIFS(C:C,A:A,A107,B:B,"&lt;="&amp;B107))</f>
        <v/>
      </c>
      <c r="G107">
        <f>IF(A107="","",SUMIFS(Transactions!D:D,Transactions!B:B,A107,Transactions!C:C,"Sell"))</f>
        <v/>
      </c>
      <c r="H107">
        <f>IF(A107="","",IF(G107&lt;=0,0,MAX(0,MIN(C107,G107-SUMIFS(H$2:H$106,A$2:A$106,A107)))))</f>
        <v/>
      </c>
      <c r="I107">
        <f>IF(C107="","",MAX(0,C107-H107))</f>
        <v/>
      </c>
      <c r="J107">
        <f>IF(I107="","",I107*D107)</f>
        <v/>
      </c>
    </row>
    <row r="108">
      <c r="A108">
        <f>IFERROR(INDEX(SORT(FILTER(Transactions!B$2:B$1000,(Transactions!C$2:C$1000="Buy")*(Transactions!B$2:B$1000&lt;&gt;"")),1,1),107),"")</f>
        <v/>
      </c>
      <c r="B108">
        <f>IF(A108="","",INDEX(SORT(FILTER(Transactions!A$2:G$1000,(Transactions!C$2:C$1000="Buy")*(Transactions!B$2:B$1000&lt;&gt;"")),2,1),107,1))</f>
        <v/>
      </c>
      <c r="C108">
        <f>IF(A108="","",INDEX(SORT(FILTER(Transactions!A$2:G$1000,(Transactions!C$2:C$1000="Buy")*(Transactions!B$2:B$1000&lt;&gt;"")),2,1),107,4))</f>
        <v/>
      </c>
      <c r="D108">
        <f>IF(A108="","",INDEX(SORT(FILTER(Transactions!A$2:G$1000,(Transactions!C$2:C$1000="Buy")*(Transactions!B$2:B$1000&lt;&gt;"")),2,1),107,5))</f>
        <v/>
      </c>
      <c r="E108">
        <f>IF(C108="","",C108*D108)</f>
        <v/>
      </c>
      <c r="F108">
        <f>IF(A108="","",SUMIFS(C:C,A:A,A108,B:B,"&lt;="&amp;B108))</f>
        <v/>
      </c>
      <c r="G108">
        <f>IF(A108="","",SUMIFS(Transactions!D:D,Transactions!B:B,A108,Transactions!C:C,"Sell"))</f>
        <v/>
      </c>
      <c r="H108">
        <f>IF(A108="","",IF(G108&lt;=0,0,MAX(0,MIN(C108,G108-SUMIFS(H$2:H$107,A$2:A$107,A108)))))</f>
        <v/>
      </c>
      <c r="I108">
        <f>IF(C108="","",MAX(0,C108-H108))</f>
        <v/>
      </c>
      <c r="J108">
        <f>IF(I108="","",I108*D108)</f>
        <v/>
      </c>
    </row>
    <row r="109">
      <c r="A109">
        <f>IFERROR(INDEX(SORT(FILTER(Transactions!B$2:B$1000,(Transactions!C$2:C$1000="Buy")*(Transactions!B$2:B$1000&lt;&gt;"")),1,1),108),"")</f>
        <v/>
      </c>
      <c r="B109">
        <f>IF(A109="","",INDEX(SORT(FILTER(Transactions!A$2:G$1000,(Transactions!C$2:C$1000="Buy")*(Transactions!B$2:B$1000&lt;&gt;"")),2,1),108,1))</f>
        <v/>
      </c>
      <c r="C109">
        <f>IF(A109="","",INDEX(SORT(FILTER(Transactions!A$2:G$1000,(Transactions!C$2:C$1000="Buy")*(Transactions!B$2:B$1000&lt;&gt;"")),2,1),108,4))</f>
        <v/>
      </c>
      <c r="D109">
        <f>IF(A109="","",INDEX(SORT(FILTER(Transactions!A$2:G$1000,(Transactions!C$2:C$1000="Buy")*(Transactions!B$2:B$1000&lt;&gt;"")),2,1),108,5))</f>
        <v/>
      </c>
      <c r="E109">
        <f>IF(C109="","",C109*D109)</f>
        <v/>
      </c>
      <c r="F109">
        <f>IF(A109="","",SUMIFS(C:C,A:A,A109,B:B,"&lt;="&amp;B109))</f>
        <v/>
      </c>
      <c r="G109">
        <f>IF(A109="","",SUMIFS(Transactions!D:D,Transactions!B:B,A109,Transactions!C:C,"Sell"))</f>
        <v/>
      </c>
      <c r="H109">
        <f>IF(A109="","",IF(G109&lt;=0,0,MAX(0,MIN(C109,G109-SUMIFS(H$2:H$108,A$2:A$108,A109)))))</f>
        <v/>
      </c>
      <c r="I109">
        <f>IF(C109="","",MAX(0,C109-H109))</f>
        <v/>
      </c>
      <c r="J109">
        <f>IF(I109="","",I109*D109)</f>
        <v/>
      </c>
    </row>
    <row r="110">
      <c r="A110">
        <f>IFERROR(INDEX(SORT(FILTER(Transactions!B$2:B$1000,(Transactions!C$2:C$1000="Buy")*(Transactions!B$2:B$1000&lt;&gt;"")),1,1),109),"")</f>
        <v/>
      </c>
      <c r="B110">
        <f>IF(A110="","",INDEX(SORT(FILTER(Transactions!A$2:G$1000,(Transactions!C$2:C$1000="Buy")*(Transactions!B$2:B$1000&lt;&gt;"")),2,1),109,1))</f>
        <v/>
      </c>
      <c r="C110">
        <f>IF(A110="","",INDEX(SORT(FILTER(Transactions!A$2:G$1000,(Transactions!C$2:C$1000="Buy")*(Transactions!B$2:B$1000&lt;&gt;"")),2,1),109,4))</f>
        <v/>
      </c>
      <c r="D110">
        <f>IF(A110="","",INDEX(SORT(FILTER(Transactions!A$2:G$1000,(Transactions!C$2:C$1000="Buy")*(Transactions!B$2:B$1000&lt;&gt;"")),2,1),109,5))</f>
        <v/>
      </c>
      <c r="E110">
        <f>IF(C110="","",C110*D110)</f>
        <v/>
      </c>
      <c r="F110">
        <f>IF(A110="","",SUMIFS(C:C,A:A,A110,B:B,"&lt;="&amp;B110))</f>
        <v/>
      </c>
      <c r="G110">
        <f>IF(A110="","",SUMIFS(Transactions!D:D,Transactions!B:B,A110,Transactions!C:C,"Sell"))</f>
        <v/>
      </c>
      <c r="H110">
        <f>IF(A110="","",IF(G110&lt;=0,0,MAX(0,MIN(C110,G110-SUMIFS(H$2:H$109,A$2:A$109,A110)))))</f>
        <v/>
      </c>
      <c r="I110">
        <f>IF(C110="","",MAX(0,C110-H110))</f>
        <v/>
      </c>
      <c r="J110">
        <f>IF(I110="","",I110*D110)</f>
        <v/>
      </c>
    </row>
    <row r="111">
      <c r="A111">
        <f>IFERROR(INDEX(SORT(FILTER(Transactions!B$2:B$1000,(Transactions!C$2:C$1000="Buy")*(Transactions!B$2:B$1000&lt;&gt;"")),1,1),110),"")</f>
        <v/>
      </c>
      <c r="B111">
        <f>IF(A111="","",INDEX(SORT(FILTER(Transactions!A$2:G$1000,(Transactions!C$2:C$1000="Buy")*(Transactions!B$2:B$1000&lt;&gt;"")),2,1),110,1))</f>
        <v/>
      </c>
      <c r="C111">
        <f>IF(A111="","",INDEX(SORT(FILTER(Transactions!A$2:G$1000,(Transactions!C$2:C$1000="Buy")*(Transactions!B$2:B$1000&lt;&gt;"")),2,1),110,4))</f>
        <v/>
      </c>
      <c r="D111">
        <f>IF(A111="","",INDEX(SORT(FILTER(Transactions!A$2:G$1000,(Transactions!C$2:C$1000="Buy")*(Transactions!B$2:B$1000&lt;&gt;"")),2,1),110,5))</f>
        <v/>
      </c>
      <c r="E111">
        <f>IF(C111="","",C111*D111)</f>
        <v/>
      </c>
      <c r="F111">
        <f>IF(A111="","",SUMIFS(C:C,A:A,A111,B:B,"&lt;="&amp;B111))</f>
        <v/>
      </c>
      <c r="G111">
        <f>IF(A111="","",SUMIFS(Transactions!D:D,Transactions!B:B,A111,Transactions!C:C,"Sell"))</f>
        <v/>
      </c>
      <c r="H111">
        <f>IF(A111="","",IF(G111&lt;=0,0,MAX(0,MIN(C111,G111-SUMIFS(H$2:H$110,A$2:A$110,A111)))))</f>
        <v/>
      </c>
      <c r="I111">
        <f>IF(C111="","",MAX(0,C111-H111))</f>
        <v/>
      </c>
      <c r="J111">
        <f>IF(I111="","",I111*D111)</f>
        <v/>
      </c>
    </row>
    <row r="112">
      <c r="A112">
        <f>IFERROR(INDEX(SORT(FILTER(Transactions!B$2:B$1000,(Transactions!C$2:C$1000="Buy")*(Transactions!B$2:B$1000&lt;&gt;"")),1,1),111),"")</f>
        <v/>
      </c>
      <c r="B112">
        <f>IF(A112="","",INDEX(SORT(FILTER(Transactions!A$2:G$1000,(Transactions!C$2:C$1000="Buy")*(Transactions!B$2:B$1000&lt;&gt;"")),2,1),111,1))</f>
        <v/>
      </c>
      <c r="C112">
        <f>IF(A112="","",INDEX(SORT(FILTER(Transactions!A$2:G$1000,(Transactions!C$2:C$1000="Buy")*(Transactions!B$2:B$1000&lt;&gt;"")),2,1),111,4))</f>
        <v/>
      </c>
      <c r="D112">
        <f>IF(A112="","",INDEX(SORT(FILTER(Transactions!A$2:G$1000,(Transactions!C$2:C$1000="Buy")*(Transactions!B$2:B$1000&lt;&gt;"")),2,1),111,5))</f>
        <v/>
      </c>
      <c r="E112">
        <f>IF(C112="","",C112*D112)</f>
        <v/>
      </c>
      <c r="F112">
        <f>IF(A112="","",SUMIFS(C:C,A:A,A112,B:B,"&lt;="&amp;B112))</f>
        <v/>
      </c>
      <c r="G112">
        <f>IF(A112="","",SUMIFS(Transactions!D:D,Transactions!B:B,A112,Transactions!C:C,"Sell"))</f>
        <v/>
      </c>
      <c r="H112">
        <f>IF(A112="","",IF(G112&lt;=0,0,MAX(0,MIN(C112,G112-SUMIFS(H$2:H$111,A$2:A$111,A112)))))</f>
        <v/>
      </c>
      <c r="I112">
        <f>IF(C112="","",MAX(0,C112-H112))</f>
        <v/>
      </c>
      <c r="J112">
        <f>IF(I112="","",I112*D112)</f>
        <v/>
      </c>
    </row>
    <row r="113">
      <c r="A113">
        <f>IFERROR(INDEX(SORT(FILTER(Transactions!B$2:B$1000,(Transactions!C$2:C$1000="Buy")*(Transactions!B$2:B$1000&lt;&gt;"")),1,1),112),"")</f>
        <v/>
      </c>
      <c r="B113">
        <f>IF(A113="","",INDEX(SORT(FILTER(Transactions!A$2:G$1000,(Transactions!C$2:C$1000="Buy")*(Transactions!B$2:B$1000&lt;&gt;"")),2,1),112,1))</f>
        <v/>
      </c>
      <c r="C113">
        <f>IF(A113="","",INDEX(SORT(FILTER(Transactions!A$2:G$1000,(Transactions!C$2:C$1000="Buy")*(Transactions!B$2:B$1000&lt;&gt;"")),2,1),112,4))</f>
        <v/>
      </c>
      <c r="D113">
        <f>IF(A113="","",INDEX(SORT(FILTER(Transactions!A$2:G$1000,(Transactions!C$2:C$1000="Buy")*(Transactions!B$2:B$1000&lt;&gt;"")),2,1),112,5))</f>
        <v/>
      </c>
      <c r="E113">
        <f>IF(C113="","",C113*D113)</f>
        <v/>
      </c>
      <c r="F113">
        <f>IF(A113="","",SUMIFS(C:C,A:A,A113,B:B,"&lt;="&amp;B113))</f>
        <v/>
      </c>
      <c r="G113">
        <f>IF(A113="","",SUMIFS(Transactions!D:D,Transactions!B:B,A113,Transactions!C:C,"Sell"))</f>
        <v/>
      </c>
      <c r="H113">
        <f>IF(A113="","",IF(G113&lt;=0,0,MAX(0,MIN(C113,G113-SUMIFS(H$2:H$112,A$2:A$112,A113)))))</f>
        <v/>
      </c>
      <c r="I113">
        <f>IF(C113="","",MAX(0,C113-H113))</f>
        <v/>
      </c>
      <c r="J113">
        <f>IF(I113="","",I113*D113)</f>
        <v/>
      </c>
    </row>
    <row r="114">
      <c r="A114">
        <f>IFERROR(INDEX(SORT(FILTER(Transactions!B$2:B$1000,(Transactions!C$2:C$1000="Buy")*(Transactions!B$2:B$1000&lt;&gt;"")),1,1),113),"")</f>
        <v/>
      </c>
      <c r="B114">
        <f>IF(A114="","",INDEX(SORT(FILTER(Transactions!A$2:G$1000,(Transactions!C$2:C$1000="Buy")*(Transactions!B$2:B$1000&lt;&gt;"")),2,1),113,1))</f>
        <v/>
      </c>
      <c r="C114">
        <f>IF(A114="","",INDEX(SORT(FILTER(Transactions!A$2:G$1000,(Transactions!C$2:C$1000="Buy")*(Transactions!B$2:B$1000&lt;&gt;"")),2,1),113,4))</f>
        <v/>
      </c>
      <c r="D114">
        <f>IF(A114="","",INDEX(SORT(FILTER(Transactions!A$2:G$1000,(Transactions!C$2:C$1000="Buy")*(Transactions!B$2:B$1000&lt;&gt;"")),2,1),113,5))</f>
        <v/>
      </c>
      <c r="E114">
        <f>IF(C114="","",C114*D114)</f>
        <v/>
      </c>
      <c r="F114">
        <f>IF(A114="","",SUMIFS(C:C,A:A,A114,B:B,"&lt;="&amp;B114))</f>
        <v/>
      </c>
      <c r="G114">
        <f>IF(A114="","",SUMIFS(Transactions!D:D,Transactions!B:B,A114,Transactions!C:C,"Sell"))</f>
        <v/>
      </c>
      <c r="H114">
        <f>IF(A114="","",IF(G114&lt;=0,0,MAX(0,MIN(C114,G114-SUMIFS(H$2:H$113,A$2:A$113,A114)))))</f>
        <v/>
      </c>
      <c r="I114">
        <f>IF(C114="","",MAX(0,C114-H114))</f>
        <v/>
      </c>
      <c r="J114">
        <f>IF(I114="","",I114*D114)</f>
        <v/>
      </c>
    </row>
    <row r="115">
      <c r="A115">
        <f>IFERROR(INDEX(SORT(FILTER(Transactions!B$2:B$1000,(Transactions!C$2:C$1000="Buy")*(Transactions!B$2:B$1000&lt;&gt;"")),1,1),114),"")</f>
        <v/>
      </c>
      <c r="B115">
        <f>IF(A115="","",INDEX(SORT(FILTER(Transactions!A$2:G$1000,(Transactions!C$2:C$1000="Buy")*(Transactions!B$2:B$1000&lt;&gt;"")),2,1),114,1))</f>
        <v/>
      </c>
      <c r="C115">
        <f>IF(A115="","",INDEX(SORT(FILTER(Transactions!A$2:G$1000,(Transactions!C$2:C$1000="Buy")*(Transactions!B$2:B$1000&lt;&gt;"")),2,1),114,4))</f>
        <v/>
      </c>
      <c r="D115">
        <f>IF(A115="","",INDEX(SORT(FILTER(Transactions!A$2:G$1000,(Transactions!C$2:C$1000="Buy")*(Transactions!B$2:B$1000&lt;&gt;"")),2,1),114,5))</f>
        <v/>
      </c>
      <c r="E115">
        <f>IF(C115="","",C115*D115)</f>
        <v/>
      </c>
      <c r="F115">
        <f>IF(A115="","",SUMIFS(C:C,A:A,A115,B:B,"&lt;="&amp;B115))</f>
        <v/>
      </c>
      <c r="G115">
        <f>IF(A115="","",SUMIFS(Transactions!D:D,Transactions!B:B,A115,Transactions!C:C,"Sell"))</f>
        <v/>
      </c>
      <c r="H115">
        <f>IF(A115="","",IF(G115&lt;=0,0,MAX(0,MIN(C115,G115-SUMIFS(H$2:H$114,A$2:A$114,A115)))))</f>
        <v/>
      </c>
      <c r="I115">
        <f>IF(C115="","",MAX(0,C115-H115))</f>
        <v/>
      </c>
      <c r="J115">
        <f>IF(I115="","",I115*D115)</f>
        <v/>
      </c>
    </row>
    <row r="116">
      <c r="A116">
        <f>IFERROR(INDEX(SORT(FILTER(Transactions!B$2:B$1000,(Transactions!C$2:C$1000="Buy")*(Transactions!B$2:B$1000&lt;&gt;"")),1,1),115),"")</f>
        <v/>
      </c>
      <c r="B116">
        <f>IF(A116="","",INDEX(SORT(FILTER(Transactions!A$2:G$1000,(Transactions!C$2:C$1000="Buy")*(Transactions!B$2:B$1000&lt;&gt;"")),2,1),115,1))</f>
        <v/>
      </c>
      <c r="C116">
        <f>IF(A116="","",INDEX(SORT(FILTER(Transactions!A$2:G$1000,(Transactions!C$2:C$1000="Buy")*(Transactions!B$2:B$1000&lt;&gt;"")),2,1),115,4))</f>
        <v/>
      </c>
      <c r="D116">
        <f>IF(A116="","",INDEX(SORT(FILTER(Transactions!A$2:G$1000,(Transactions!C$2:C$1000="Buy")*(Transactions!B$2:B$1000&lt;&gt;"")),2,1),115,5))</f>
        <v/>
      </c>
      <c r="E116">
        <f>IF(C116="","",C116*D116)</f>
        <v/>
      </c>
      <c r="F116">
        <f>IF(A116="","",SUMIFS(C:C,A:A,A116,B:B,"&lt;="&amp;B116))</f>
        <v/>
      </c>
      <c r="G116">
        <f>IF(A116="","",SUMIFS(Transactions!D:D,Transactions!B:B,A116,Transactions!C:C,"Sell"))</f>
        <v/>
      </c>
      <c r="H116">
        <f>IF(A116="","",IF(G116&lt;=0,0,MAX(0,MIN(C116,G116-SUMIFS(H$2:H$115,A$2:A$115,A116)))))</f>
        <v/>
      </c>
      <c r="I116">
        <f>IF(C116="","",MAX(0,C116-H116))</f>
        <v/>
      </c>
      <c r="J116">
        <f>IF(I116="","",I116*D116)</f>
        <v/>
      </c>
    </row>
    <row r="117">
      <c r="A117">
        <f>IFERROR(INDEX(SORT(FILTER(Transactions!B$2:B$1000,(Transactions!C$2:C$1000="Buy")*(Transactions!B$2:B$1000&lt;&gt;"")),1,1),116),"")</f>
        <v/>
      </c>
      <c r="B117">
        <f>IF(A117="","",INDEX(SORT(FILTER(Transactions!A$2:G$1000,(Transactions!C$2:C$1000="Buy")*(Transactions!B$2:B$1000&lt;&gt;"")),2,1),116,1))</f>
        <v/>
      </c>
      <c r="C117">
        <f>IF(A117="","",INDEX(SORT(FILTER(Transactions!A$2:G$1000,(Transactions!C$2:C$1000="Buy")*(Transactions!B$2:B$1000&lt;&gt;"")),2,1),116,4))</f>
        <v/>
      </c>
      <c r="D117">
        <f>IF(A117="","",INDEX(SORT(FILTER(Transactions!A$2:G$1000,(Transactions!C$2:C$1000="Buy")*(Transactions!B$2:B$1000&lt;&gt;"")),2,1),116,5))</f>
        <v/>
      </c>
      <c r="E117">
        <f>IF(C117="","",C117*D117)</f>
        <v/>
      </c>
      <c r="F117">
        <f>IF(A117="","",SUMIFS(C:C,A:A,A117,B:B,"&lt;="&amp;B117))</f>
        <v/>
      </c>
      <c r="G117">
        <f>IF(A117="","",SUMIFS(Transactions!D:D,Transactions!B:B,A117,Transactions!C:C,"Sell"))</f>
        <v/>
      </c>
      <c r="H117">
        <f>IF(A117="","",IF(G117&lt;=0,0,MAX(0,MIN(C117,G117-SUMIFS(H$2:H$116,A$2:A$116,A117)))))</f>
        <v/>
      </c>
      <c r="I117">
        <f>IF(C117="","",MAX(0,C117-H117))</f>
        <v/>
      </c>
      <c r="J117">
        <f>IF(I117="","",I117*D117)</f>
        <v/>
      </c>
    </row>
    <row r="118">
      <c r="A118">
        <f>IFERROR(INDEX(SORT(FILTER(Transactions!B$2:B$1000,(Transactions!C$2:C$1000="Buy")*(Transactions!B$2:B$1000&lt;&gt;"")),1,1),117),"")</f>
        <v/>
      </c>
      <c r="B118">
        <f>IF(A118="","",INDEX(SORT(FILTER(Transactions!A$2:G$1000,(Transactions!C$2:C$1000="Buy")*(Transactions!B$2:B$1000&lt;&gt;"")),2,1),117,1))</f>
        <v/>
      </c>
      <c r="C118">
        <f>IF(A118="","",INDEX(SORT(FILTER(Transactions!A$2:G$1000,(Transactions!C$2:C$1000="Buy")*(Transactions!B$2:B$1000&lt;&gt;"")),2,1),117,4))</f>
        <v/>
      </c>
      <c r="D118">
        <f>IF(A118="","",INDEX(SORT(FILTER(Transactions!A$2:G$1000,(Transactions!C$2:C$1000="Buy")*(Transactions!B$2:B$1000&lt;&gt;"")),2,1),117,5))</f>
        <v/>
      </c>
      <c r="E118">
        <f>IF(C118="","",C118*D118)</f>
        <v/>
      </c>
      <c r="F118">
        <f>IF(A118="","",SUMIFS(C:C,A:A,A118,B:B,"&lt;="&amp;B118))</f>
        <v/>
      </c>
      <c r="G118">
        <f>IF(A118="","",SUMIFS(Transactions!D:D,Transactions!B:B,A118,Transactions!C:C,"Sell"))</f>
        <v/>
      </c>
      <c r="H118">
        <f>IF(A118="","",IF(G118&lt;=0,0,MAX(0,MIN(C118,G118-SUMIFS(H$2:H$117,A$2:A$117,A118)))))</f>
        <v/>
      </c>
      <c r="I118">
        <f>IF(C118="","",MAX(0,C118-H118))</f>
        <v/>
      </c>
      <c r="J118">
        <f>IF(I118="","",I118*D118)</f>
        <v/>
      </c>
    </row>
    <row r="119">
      <c r="A119">
        <f>IFERROR(INDEX(SORT(FILTER(Transactions!B$2:B$1000,(Transactions!C$2:C$1000="Buy")*(Transactions!B$2:B$1000&lt;&gt;"")),1,1),118),"")</f>
        <v/>
      </c>
      <c r="B119">
        <f>IF(A119="","",INDEX(SORT(FILTER(Transactions!A$2:G$1000,(Transactions!C$2:C$1000="Buy")*(Transactions!B$2:B$1000&lt;&gt;"")),2,1),118,1))</f>
        <v/>
      </c>
      <c r="C119">
        <f>IF(A119="","",INDEX(SORT(FILTER(Transactions!A$2:G$1000,(Transactions!C$2:C$1000="Buy")*(Transactions!B$2:B$1000&lt;&gt;"")),2,1),118,4))</f>
        <v/>
      </c>
      <c r="D119">
        <f>IF(A119="","",INDEX(SORT(FILTER(Transactions!A$2:G$1000,(Transactions!C$2:C$1000="Buy")*(Transactions!B$2:B$1000&lt;&gt;"")),2,1),118,5))</f>
        <v/>
      </c>
      <c r="E119">
        <f>IF(C119="","",C119*D119)</f>
        <v/>
      </c>
      <c r="F119">
        <f>IF(A119="","",SUMIFS(C:C,A:A,A119,B:B,"&lt;="&amp;B119))</f>
        <v/>
      </c>
      <c r="G119">
        <f>IF(A119="","",SUMIFS(Transactions!D:D,Transactions!B:B,A119,Transactions!C:C,"Sell"))</f>
        <v/>
      </c>
      <c r="H119">
        <f>IF(A119="","",IF(G119&lt;=0,0,MAX(0,MIN(C119,G119-SUMIFS(H$2:H$118,A$2:A$118,A119)))))</f>
        <v/>
      </c>
      <c r="I119">
        <f>IF(C119="","",MAX(0,C119-H119))</f>
        <v/>
      </c>
      <c r="J119">
        <f>IF(I119="","",I119*D119)</f>
        <v/>
      </c>
    </row>
    <row r="120">
      <c r="A120">
        <f>IFERROR(INDEX(SORT(FILTER(Transactions!B$2:B$1000,(Transactions!C$2:C$1000="Buy")*(Transactions!B$2:B$1000&lt;&gt;"")),1,1),119),"")</f>
        <v/>
      </c>
      <c r="B120">
        <f>IF(A120="","",INDEX(SORT(FILTER(Transactions!A$2:G$1000,(Transactions!C$2:C$1000="Buy")*(Transactions!B$2:B$1000&lt;&gt;"")),2,1),119,1))</f>
        <v/>
      </c>
      <c r="C120">
        <f>IF(A120="","",INDEX(SORT(FILTER(Transactions!A$2:G$1000,(Transactions!C$2:C$1000="Buy")*(Transactions!B$2:B$1000&lt;&gt;"")),2,1),119,4))</f>
        <v/>
      </c>
      <c r="D120">
        <f>IF(A120="","",INDEX(SORT(FILTER(Transactions!A$2:G$1000,(Transactions!C$2:C$1000="Buy")*(Transactions!B$2:B$1000&lt;&gt;"")),2,1),119,5))</f>
        <v/>
      </c>
      <c r="E120">
        <f>IF(C120="","",C120*D120)</f>
        <v/>
      </c>
      <c r="F120">
        <f>IF(A120="","",SUMIFS(C:C,A:A,A120,B:B,"&lt;="&amp;B120))</f>
        <v/>
      </c>
      <c r="G120">
        <f>IF(A120="","",SUMIFS(Transactions!D:D,Transactions!B:B,A120,Transactions!C:C,"Sell"))</f>
        <v/>
      </c>
      <c r="H120">
        <f>IF(A120="","",IF(G120&lt;=0,0,MAX(0,MIN(C120,G120-SUMIFS(H$2:H$119,A$2:A$119,A120)))))</f>
        <v/>
      </c>
      <c r="I120">
        <f>IF(C120="","",MAX(0,C120-H120))</f>
        <v/>
      </c>
      <c r="J120">
        <f>IF(I120="","",I120*D120)</f>
        <v/>
      </c>
    </row>
    <row r="121">
      <c r="A121">
        <f>IFERROR(INDEX(SORT(FILTER(Transactions!B$2:B$1000,(Transactions!C$2:C$1000="Buy")*(Transactions!B$2:B$1000&lt;&gt;"")),1,1),120),"")</f>
        <v/>
      </c>
      <c r="B121">
        <f>IF(A121="","",INDEX(SORT(FILTER(Transactions!A$2:G$1000,(Transactions!C$2:C$1000="Buy")*(Transactions!B$2:B$1000&lt;&gt;"")),2,1),120,1))</f>
        <v/>
      </c>
      <c r="C121">
        <f>IF(A121="","",INDEX(SORT(FILTER(Transactions!A$2:G$1000,(Transactions!C$2:C$1000="Buy")*(Transactions!B$2:B$1000&lt;&gt;"")),2,1),120,4))</f>
        <v/>
      </c>
      <c r="D121">
        <f>IF(A121="","",INDEX(SORT(FILTER(Transactions!A$2:G$1000,(Transactions!C$2:C$1000="Buy")*(Transactions!B$2:B$1000&lt;&gt;"")),2,1),120,5))</f>
        <v/>
      </c>
      <c r="E121">
        <f>IF(C121="","",C121*D121)</f>
        <v/>
      </c>
      <c r="F121">
        <f>IF(A121="","",SUMIFS(C:C,A:A,A121,B:B,"&lt;="&amp;B121))</f>
        <v/>
      </c>
      <c r="G121">
        <f>IF(A121="","",SUMIFS(Transactions!D:D,Transactions!B:B,A121,Transactions!C:C,"Sell"))</f>
        <v/>
      </c>
      <c r="H121">
        <f>IF(A121="","",IF(G121&lt;=0,0,MAX(0,MIN(C121,G121-SUMIFS(H$2:H$120,A$2:A$120,A121)))))</f>
        <v/>
      </c>
      <c r="I121">
        <f>IF(C121="","",MAX(0,C121-H121))</f>
        <v/>
      </c>
      <c r="J121">
        <f>IF(I121="","",I121*D121)</f>
        <v/>
      </c>
    </row>
    <row r="122">
      <c r="A122">
        <f>IFERROR(INDEX(SORT(FILTER(Transactions!B$2:B$1000,(Transactions!C$2:C$1000="Buy")*(Transactions!B$2:B$1000&lt;&gt;"")),1,1),121),"")</f>
        <v/>
      </c>
      <c r="B122">
        <f>IF(A122="","",INDEX(SORT(FILTER(Transactions!A$2:G$1000,(Transactions!C$2:C$1000="Buy")*(Transactions!B$2:B$1000&lt;&gt;"")),2,1),121,1))</f>
        <v/>
      </c>
      <c r="C122">
        <f>IF(A122="","",INDEX(SORT(FILTER(Transactions!A$2:G$1000,(Transactions!C$2:C$1000="Buy")*(Transactions!B$2:B$1000&lt;&gt;"")),2,1),121,4))</f>
        <v/>
      </c>
      <c r="D122">
        <f>IF(A122="","",INDEX(SORT(FILTER(Transactions!A$2:G$1000,(Transactions!C$2:C$1000="Buy")*(Transactions!B$2:B$1000&lt;&gt;"")),2,1),121,5))</f>
        <v/>
      </c>
      <c r="E122">
        <f>IF(C122="","",C122*D122)</f>
        <v/>
      </c>
      <c r="F122">
        <f>IF(A122="","",SUMIFS(C:C,A:A,A122,B:B,"&lt;="&amp;B122))</f>
        <v/>
      </c>
      <c r="G122">
        <f>IF(A122="","",SUMIFS(Transactions!D:D,Transactions!B:B,A122,Transactions!C:C,"Sell"))</f>
        <v/>
      </c>
      <c r="H122">
        <f>IF(A122="","",IF(G122&lt;=0,0,MAX(0,MIN(C122,G122-SUMIFS(H$2:H$121,A$2:A$121,A122)))))</f>
        <v/>
      </c>
      <c r="I122">
        <f>IF(C122="","",MAX(0,C122-H122))</f>
        <v/>
      </c>
      <c r="J122">
        <f>IF(I122="","",I122*D122)</f>
        <v/>
      </c>
    </row>
    <row r="123">
      <c r="A123">
        <f>IFERROR(INDEX(SORT(FILTER(Transactions!B$2:B$1000,(Transactions!C$2:C$1000="Buy")*(Transactions!B$2:B$1000&lt;&gt;"")),1,1),122),"")</f>
        <v/>
      </c>
      <c r="B123">
        <f>IF(A123="","",INDEX(SORT(FILTER(Transactions!A$2:G$1000,(Transactions!C$2:C$1000="Buy")*(Transactions!B$2:B$1000&lt;&gt;"")),2,1),122,1))</f>
        <v/>
      </c>
      <c r="C123">
        <f>IF(A123="","",INDEX(SORT(FILTER(Transactions!A$2:G$1000,(Transactions!C$2:C$1000="Buy")*(Transactions!B$2:B$1000&lt;&gt;"")),2,1),122,4))</f>
        <v/>
      </c>
      <c r="D123">
        <f>IF(A123="","",INDEX(SORT(FILTER(Transactions!A$2:G$1000,(Transactions!C$2:C$1000="Buy")*(Transactions!B$2:B$1000&lt;&gt;"")),2,1),122,5))</f>
        <v/>
      </c>
      <c r="E123">
        <f>IF(C123="","",C123*D123)</f>
        <v/>
      </c>
      <c r="F123">
        <f>IF(A123="","",SUMIFS(C:C,A:A,A123,B:B,"&lt;="&amp;B123))</f>
        <v/>
      </c>
      <c r="G123">
        <f>IF(A123="","",SUMIFS(Transactions!D:D,Transactions!B:B,A123,Transactions!C:C,"Sell"))</f>
        <v/>
      </c>
      <c r="H123">
        <f>IF(A123="","",IF(G123&lt;=0,0,MAX(0,MIN(C123,G123-SUMIFS(H$2:H$122,A$2:A$122,A123)))))</f>
        <v/>
      </c>
      <c r="I123">
        <f>IF(C123="","",MAX(0,C123-H123))</f>
        <v/>
      </c>
      <c r="J123">
        <f>IF(I123="","",I123*D123)</f>
        <v/>
      </c>
    </row>
    <row r="124">
      <c r="A124">
        <f>IFERROR(INDEX(SORT(FILTER(Transactions!B$2:B$1000,(Transactions!C$2:C$1000="Buy")*(Transactions!B$2:B$1000&lt;&gt;"")),1,1),123),"")</f>
        <v/>
      </c>
      <c r="B124">
        <f>IF(A124="","",INDEX(SORT(FILTER(Transactions!A$2:G$1000,(Transactions!C$2:C$1000="Buy")*(Transactions!B$2:B$1000&lt;&gt;"")),2,1),123,1))</f>
        <v/>
      </c>
      <c r="C124">
        <f>IF(A124="","",INDEX(SORT(FILTER(Transactions!A$2:G$1000,(Transactions!C$2:C$1000="Buy")*(Transactions!B$2:B$1000&lt;&gt;"")),2,1),123,4))</f>
        <v/>
      </c>
      <c r="D124">
        <f>IF(A124="","",INDEX(SORT(FILTER(Transactions!A$2:G$1000,(Transactions!C$2:C$1000="Buy")*(Transactions!B$2:B$1000&lt;&gt;"")),2,1),123,5))</f>
        <v/>
      </c>
      <c r="E124">
        <f>IF(C124="","",C124*D124)</f>
        <v/>
      </c>
      <c r="F124">
        <f>IF(A124="","",SUMIFS(C:C,A:A,A124,B:B,"&lt;="&amp;B124))</f>
        <v/>
      </c>
      <c r="G124">
        <f>IF(A124="","",SUMIFS(Transactions!D:D,Transactions!B:B,A124,Transactions!C:C,"Sell"))</f>
        <v/>
      </c>
      <c r="H124">
        <f>IF(A124="","",IF(G124&lt;=0,0,MAX(0,MIN(C124,G124-SUMIFS(H$2:H$123,A$2:A$123,A124)))))</f>
        <v/>
      </c>
      <c r="I124">
        <f>IF(C124="","",MAX(0,C124-H124))</f>
        <v/>
      </c>
      <c r="J124">
        <f>IF(I124="","",I124*D124)</f>
        <v/>
      </c>
    </row>
    <row r="125">
      <c r="A125">
        <f>IFERROR(INDEX(SORT(FILTER(Transactions!B$2:B$1000,(Transactions!C$2:C$1000="Buy")*(Transactions!B$2:B$1000&lt;&gt;"")),1,1),124),"")</f>
        <v/>
      </c>
      <c r="B125">
        <f>IF(A125="","",INDEX(SORT(FILTER(Transactions!A$2:G$1000,(Transactions!C$2:C$1000="Buy")*(Transactions!B$2:B$1000&lt;&gt;"")),2,1),124,1))</f>
        <v/>
      </c>
      <c r="C125">
        <f>IF(A125="","",INDEX(SORT(FILTER(Transactions!A$2:G$1000,(Transactions!C$2:C$1000="Buy")*(Transactions!B$2:B$1000&lt;&gt;"")),2,1),124,4))</f>
        <v/>
      </c>
      <c r="D125">
        <f>IF(A125="","",INDEX(SORT(FILTER(Transactions!A$2:G$1000,(Transactions!C$2:C$1000="Buy")*(Transactions!B$2:B$1000&lt;&gt;"")),2,1),124,5))</f>
        <v/>
      </c>
      <c r="E125">
        <f>IF(C125="","",C125*D125)</f>
        <v/>
      </c>
      <c r="F125">
        <f>IF(A125="","",SUMIFS(C:C,A:A,A125,B:B,"&lt;="&amp;B125))</f>
        <v/>
      </c>
      <c r="G125">
        <f>IF(A125="","",SUMIFS(Transactions!D:D,Transactions!B:B,A125,Transactions!C:C,"Sell"))</f>
        <v/>
      </c>
      <c r="H125">
        <f>IF(A125="","",IF(G125&lt;=0,0,MAX(0,MIN(C125,G125-SUMIFS(H$2:H$124,A$2:A$124,A125)))))</f>
        <v/>
      </c>
      <c r="I125">
        <f>IF(C125="","",MAX(0,C125-H125))</f>
        <v/>
      </c>
      <c r="J125">
        <f>IF(I125="","",I125*D125)</f>
        <v/>
      </c>
    </row>
    <row r="126">
      <c r="A126">
        <f>IFERROR(INDEX(SORT(FILTER(Transactions!B$2:B$1000,(Transactions!C$2:C$1000="Buy")*(Transactions!B$2:B$1000&lt;&gt;"")),1,1),125),"")</f>
        <v/>
      </c>
      <c r="B126">
        <f>IF(A126="","",INDEX(SORT(FILTER(Transactions!A$2:G$1000,(Transactions!C$2:C$1000="Buy")*(Transactions!B$2:B$1000&lt;&gt;"")),2,1),125,1))</f>
        <v/>
      </c>
      <c r="C126">
        <f>IF(A126="","",INDEX(SORT(FILTER(Transactions!A$2:G$1000,(Transactions!C$2:C$1000="Buy")*(Transactions!B$2:B$1000&lt;&gt;"")),2,1),125,4))</f>
        <v/>
      </c>
      <c r="D126">
        <f>IF(A126="","",INDEX(SORT(FILTER(Transactions!A$2:G$1000,(Transactions!C$2:C$1000="Buy")*(Transactions!B$2:B$1000&lt;&gt;"")),2,1),125,5))</f>
        <v/>
      </c>
      <c r="E126">
        <f>IF(C126="","",C126*D126)</f>
        <v/>
      </c>
      <c r="F126">
        <f>IF(A126="","",SUMIFS(C:C,A:A,A126,B:B,"&lt;="&amp;B126))</f>
        <v/>
      </c>
      <c r="G126">
        <f>IF(A126="","",SUMIFS(Transactions!D:D,Transactions!B:B,A126,Transactions!C:C,"Sell"))</f>
        <v/>
      </c>
      <c r="H126">
        <f>IF(A126="","",IF(G126&lt;=0,0,MAX(0,MIN(C126,G126-SUMIFS(H$2:H$125,A$2:A$125,A126)))))</f>
        <v/>
      </c>
      <c r="I126">
        <f>IF(C126="","",MAX(0,C126-H126))</f>
        <v/>
      </c>
      <c r="J126">
        <f>IF(I126="","",I126*D126)</f>
        <v/>
      </c>
    </row>
    <row r="127">
      <c r="A127">
        <f>IFERROR(INDEX(SORT(FILTER(Transactions!B$2:B$1000,(Transactions!C$2:C$1000="Buy")*(Transactions!B$2:B$1000&lt;&gt;"")),1,1),126),"")</f>
        <v/>
      </c>
      <c r="B127">
        <f>IF(A127="","",INDEX(SORT(FILTER(Transactions!A$2:G$1000,(Transactions!C$2:C$1000="Buy")*(Transactions!B$2:B$1000&lt;&gt;"")),2,1),126,1))</f>
        <v/>
      </c>
      <c r="C127">
        <f>IF(A127="","",INDEX(SORT(FILTER(Transactions!A$2:G$1000,(Transactions!C$2:C$1000="Buy")*(Transactions!B$2:B$1000&lt;&gt;"")),2,1),126,4))</f>
        <v/>
      </c>
      <c r="D127">
        <f>IF(A127="","",INDEX(SORT(FILTER(Transactions!A$2:G$1000,(Transactions!C$2:C$1000="Buy")*(Transactions!B$2:B$1000&lt;&gt;"")),2,1),126,5))</f>
        <v/>
      </c>
      <c r="E127">
        <f>IF(C127="","",C127*D127)</f>
        <v/>
      </c>
      <c r="F127">
        <f>IF(A127="","",SUMIFS(C:C,A:A,A127,B:B,"&lt;="&amp;B127))</f>
        <v/>
      </c>
      <c r="G127">
        <f>IF(A127="","",SUMIFS(Transactions!D:D,Transactions!B:B,A127,Transactions!C:C,"Sell"))</f>
        <v/>
      </c>
      <c r="H127">
        <f>IF(A127="","",IF(G127&lt;=0,0,MAX(0,MIN(C127,G127-SUMIFS(H$2:H$126,A$2:A$126,A127)))))</f>
        <v/>
      </c>
      <c r="I127">
        <f>IF(C127="","",MAX(0,C127-H127))</f>
        <v/>
      </c>
      <c r="J127">
        <f>IF(I127="","",I127*D127)</f>
        <v/>
      </c>
    </row>
    <row r="128">
      <c r="A128">
        <f>IFERROR(INDEX(SORT(FILTER(Transactions!B$2:B$1000,(Transactions!C$2:C$1000="Buy")*(Transactions!B$2:B$1000&lt;&gt;"")),1,1),127),"")</f>
        <v/>
      </c>
      <c r="B128">
        <f>IF(A128="","",INDEX(SORT(FILTER(Transactions!A$2:G$1000,(Transactions!C$2:C$1000="Buy")*(Transactions!B$2:B$1000&lt;&gt;"")),2,1),127,1))</f>
        <v/>
      </c>
      <c r="C128">
        <f>IF(A128="","",INDEX(SORT(FILTER(Transactions!A$2:G$1000,(Transactions!C$2:C$1000="Buy")*(Transactions!B$2:B$1000&lt;&gt;"")),2,1),127,4))</f>
        <v/>
      </c>
      <c r="D128">
        <f>IF(A128="","",INDEX(SORT(FILTER(Transactions!A$2:G$1000,(Transactions!C$2:C$1000="Buy")*(Transactions!B$2:B$1000&lt;&gt;"")),2,1),127,5))</f>
        <v/>
      </c>
      <c r="E128">
        <f>IF(C128="","",C128*D128)</f>
        <v/>
      </c>
      <c r="F128">
        <f>IF(A128="","",SUMIFS(C:C,A:A,A128,B:B,"&lt;="&amp;B128))</f>
        <v/>
      </c>
      <c r="G128">
        <f>IF(A128="","",SUMIFS(Transactions!D:D,Transactions!B:B,A128,Transactions!C:C,"Sell"))</f>
        <v/>
      </c>
      <c r="H128">
        <f>IF(A128="","",IF(G128&lt;=0,0,MAX(0,MIN(C128,G128-SUMIFS(H$2:H$127,A$2:A$127,A128)))))</f>
        <v/>
      </c>
      <c r="I128">
        <f>IF(C128="","",MAX(0,C128-H128))</f>
        <v/>
      </c>
      <c r="J128">
        <f>IF(I128="","",I128*D128)</f>
        <v/>
      </c>
    </row>
    <row r="129">
      <c r="A129">
        <f>IFERROR(INDEX(SORT(FILTER(Transactions!B$2:B$1000,(Transactions!C$2:C$1000="Buy")*(Transactions!B$2:B$1000&lt;&gt;"")),1,1),128),"")</f>
        <v/>
      </c>
      <c r="B129">
        <f>IF(A129="","",INDEX(SORT(FILTER(Transactions!A$2:G$1000,(Transactions!C$2:C$1000="Buy")*(Transactions!B$2:B$1000&lt;&gt;"")),2,1),128,1))</f>
        <v/>
      </c>
      <c r="C129">
        <f>IF(A129="","",INDEX(SORT(FILTER(Transactions!A$2:G$1000,(Transactions!C$2:C$1000="Buy")*(Transactions!B$2:B$1000&lt;&gt;"")),2,1),128,4))</f>
        <v/>
      </c>
      <c r="D129">
        <f>IF(A129="","",INDEX(SORT(FILTER(Transactions!A$2:G$1000,(Transactions!C$2:C$1000="Buy")*(Transactions!B$2:B$1000&lt;&gt;"")),2,1),128,5))</f>
        <v/>
      </c>
      <c r="E129">
        <f>IF(C129="","",C129*D129)</f>
        <v/>
      </c>
      <c r="F129">
        <f>IF(A129="","",SUMIFS(C:C,A:A,A129,B:B,"&lt;="&amp;B129))</f>
        <v/>
      </c>
      <c r="G129">
        <f>IF(A129="","",SUMIFS(Transactions!D:D,Transactions!B:B,A129,Transactions!C:C,"Sell"))</f>
        <v/>
      </c>
      <c r="H129">
        <f>IF(A129="","",IF(G129&lt;=0,0,MAX(0,MIN(C129,G129-SUMIFS(H$2:H$128,A$2:A$128,A129)))))</f>
        <v/>
      </c>
      <c r="I129">
        <f>IF(C129="","",MAX(0,C129-H129))</f>
        <v/>
      </c>
      <c r="J129">
        <f>IF(I129="","",I129*D129)</f>
        <v/>
      </c>
    </row>
    <row r="130">
      <c r="A130">
        <f>IFERROR(INDEX(SORT(FILTER(Transactions!B$2:B$1000,(Transactions!C$2:C$1000="Buy")*(Transactions!B$2:B$1000&lt;&gt;"")),1,1),129),"")</f>
        <v/>
      </c>
      <c r="B130">
        <f>IF(A130="","",INDEX(SORT(FILTER(Transactions!A$2:G$1000,(Transactions!C$2:C$1000="Buy")*(Transactions!B$2:B$1000&lt;&gt;"")),2,1),129,1))</f>
        <v/>
      </c>
      <c r="C130">
        <f>IF(A130="","",INDEX(SORT(FILTER(Transactions!A$2:G$1000,(Transactions!C$2:C$1000="Buy")*(Transactions!B$2:B$1000&lt;&gt;"")),2,1),129,4))</f>
        <v/>
      </c>
      <c r="D130">
        <f>IF(A130="","",INDEX(SORT(FILTER(Transactions!A$2:G$1000,(Transactions!C$2:C$1000="Buy")*(Transactions!B$2:B$1000&lt;&gt;"")),2,1),129,5))</f>
        <v/>
      </c>
      <c r="E130">
        <f>IF(C130="","",C130*D130)</f>
        <v/>
      </c>
      <c r="F130">
        <f>IF(A130="","",SUMIFS(C:C,A:A,A130,B:B,"&lt;="&amp;B130))</f>
        <v/>
      </c>
      <c r="G130">
        <f>IF(A130="","",SUMIFS(Transactions!D:D,Transactions!B:B,A130,Transactions!C:C,"Sell"))</f>
        <v/>
      </c>
      <c r="H130">
        <f>IF(A130="","",IF(G130&lt;=0,0,MAX(0,MIN(C130,G130-SUMIFS(H$2:H$129,A$2:A$129,A130)))))</f>
        <v/>
      </c>
      <c r="I130">
        <f>IF(C130="","",MAX(0,C130-H130))</f>
        <v/>
      </c>
      <c r="J130">
        <f>IF(I130="","",I130*D130)</f>
        <v/>
      </c>
    </row>
    <row r="131">
      <c r="A131">
        <f>IFERROR(INDEX(SORT(FILTER(Transactions!B$2:B$1000,(Transactions!C$2:C$1000="Buy")*(Transactions!B$2:B$1000&lt;&gt;"")),1,1),130),"")</f>
        <v/>
      </c>
      <c r="B131">
        <f>IF(A131="","",INDEX(SORT(FILTER(Transactions!A$2:G$1000,(Transactions!C$2:C$1000="Buy")*(Transactions!B$2:B$1000&lt;&gt;"")),2,1),130,1))</f>
        <v/>
      </c>
      <c r="C131">
        <f>IF(A131="","",INDEX(SORT(FILTER(Transactions!A$2:G$1000,(Transactions!C$2:C$1000="Buy")*(Transactions!B$2:B$1000&lt;&gt;"")),2,1),130,4))</f>
        <v/>
      </c>
      <c r="D131">
        <f>IF(A131="","",INDEX(SORT(FILTER(Transactions!A$2:G$1000,(Transactions!C$2:C$1000="Buy")*(Transactions!B$2:B$1000&lt;&gt;"")),2,1),130,5))</f>
        <v/>
      </c>
      <c r="E131">
        <f>IF(C131="","",C131*D131)</f>
        <v/>
      </c>
      <c r="F131">
        <f>IF(A131="","",SUMIFS(C:C,A:A,A131,B:B,"&lt;="&amp;B131))</f>
        <v/>
      </c>
      <c r="G131">
        <f>IF(A131="","",SUMIFS(Transactions!D:D,Transactions!B:B,A131,Transactions!C:C,"Sell"))</f>
        <v/>
      </c>
      <c r="H131">
        <f>IF(A131="","",IF(G131&lt;=0,0,MAX(0,MIN(C131,G131-SUMIFS(H$2:H$130,A$2:A$130,A131)))))</f>
        <v/>
      </c>
      <c r="I131">
        <f>IF(C131="","",MAX(0,C131-H131))</f>
        <v/>
      </c>
      <c r="J131">
        <f>IF(I131="","",I131*D131)</f>
        <v/>
      </c>
    </row>
    <row r="132">
      <c r="A132">
        <f>IFERROR(INDEX(SORT(FILTER(Transactions!B$2:B$1000,(Transactions!C$2:C$1000="Buy")*(Transactions!B$2:B$1000&lt;&gt;"")),1,1),131),"")</f>
        <v/>
      </c>
      <c r="B132">
        <f>IF(A132="","",INDEX(SORT(FILTER(Transactions!A$2:G$1000,(Transactions!C$2:C$1000="Buy")*(Transactions!B$2:B$1000&lt;&gt;"")),2,1),131,1))</f>
        <v/>
      </c>
      <c r="C132">
        <f>IF(A132="","",INDEX(SORT(FILTER(Transactions!A$2:G$1000,(Transactions!C$2:C$1000="Buy")*(Transactions!B$2:B$1000&lt;&gt;"")),2,1),131,4))</f>
        <v/>
      </c>
      <c r="D132">
        <f>IF(A132="","",INDEX(SORT(FILTER(Transactions!A$2:G$1000,(Transactions!C$2:C$1000="Buy")*(Transactions!B$2:B$1000&lt;&gt;"")),2,1),131,5))</f>
        <v/>
      </c>
      <c r="E132">
        <f>IF(C132="","",C132*D132)</f>
        <v/>
      </c>
      <c r="F132">
        <f>IF(A132="","",SUMIFS(C:C,A:A,A132,B:B,"&lt;="&amp;B132))</f>
        <v/>
      </c>
      <c r="G132">
        <f>IF(A132="","",SUMIFS(Transactions!D:D,Transactions!B:B,A132,Transactions!C:C,"Sell"))</f>
        <v/>
      </c>
      <c r="H132">
        <f>IF(A132="","",IF(G132&lt;=0,0,MAX(0,MIN(C132,G132-SUMIFS(H$2:H$131,A$2:A$131,A132)))))</f>
        <v/>
      </c>
      <c r="I132">
        <f>IF(C132="","",MAX(0,C132-H132))</f>
        <v/>
      </c>
      <c r="J132">
        <f>IF(I132="","",I132*D132)</f>
        <v/>
      </c>
    </row>
    <row r="133">
      <c r="A133">
        <f>IFERROR(INDEX(SORT(FILTER(Transactions!B$2:B$1000,(Transactions!C$2:C$1000="Buy")*(Transactions!B$2:B$1000&lt;&gt;"")),1,1),132),"")</f>
        <v/>
      </c>
      <c r="B133">
        <f>IF(A133="","",INDEX(SORT(FILTER(Transactions!A$2:G$1000,(Transactions!C$2:C$1000="Buy")*(Transactions!B$2:B$1000&lt;&gt;"")),2,1),132,1))</f>
        <v/>
      </c>
      <c r="C133">
        <f>IF(A133="","",INDEX(SORT(FILTER(Transactions!A$2:G$1000,(Transactions!C$2:C$1000="Buy")*(Transactions!B$2:B$1000&lt;&gt;"")),2,1),132,4))</f>
        <v/>
      </c>
      <c r="D133">
        <f>IF(A133="","",INDEX(SORT(FILTER(Transactions!A$2:G$1000,(Transactions!C$2:C$1000="Buy")*(Transactions!B$2:B$1000&lt;&gt;"")),2,1),132,5))</f>
        <v/>
      </c>
      <c r="E133">
        <f>IF(C133="","",C133*D133)</f>
        <v/>
      </c>
      <c r="F133">
        <f>IF(A133="","",SUMIFS(C:C,A:A,A133,B:B,"&lt;="&amp;B133))</f>
        <v/>
      </c>
      <c r="G133">
        <f>IF(A133="","",SUMIFS(Transactions!D:D,Transactions!B:B,A133,Transactions!C:C,"Sell"))</f>
        <v/>
      </c>
      <c r="H133">
        <f>IF(A133="","",IF(G133&lt;=0,0,MAX(0,MIN(C133,G133-SUMIFS(H$2:H$132,A$2:A$132,A133)))))</f>
        <v/>
      </c>
      <c r="I133">
        <f>IF(C133="","",MAX(0,C133-H133))</f>
        <v/>
      </c>
      <c r="J133">
        <f>IF(I133="","",I133*D133)</f>
        <v/>
      </c>
    </row>
    <row r="134">
      <c r="A134">
        <f>IFERROR(INDEX(SORT(FILTER(Transactions!B$2:B$1000,(Transactions!C$2:C$1000="Buy")*(Transactions!B$2:B$1000&lt;&gt;"")),1,1),133),"")</f>
        <v/>
      </c>
      <c r="B134">
        <f>IF(A134="","",INDEX(SORT(FILTER(Transactions!A$2:G$1000,(Transactions!C$2:C$1000="Buy")*(Transactions!B$2:B$1000&lt;&gt;"")),2,1),133,1))</f>
        <v/>
      </c>
      <c r="C134">
        <f>IF(A134="","",INDEX(SORT(FILTER(Transactions!A$2:G$1000,(Transactions!C$2:C$1000="Buy")*(Transactions!B$2:B$1000&lt;&gt;"")),2,1),133,4))</f>
        <v/>
      </c>
      <c r="D134">
        <f>IF(A134="","",INDEX(SORT(FILTER(Transactions!A$2:G$1000,(Transactions!C$2:C$1000="Buy")*(Transactions!B$2:B$1000&lt;&gt;"")),2,1),133,5))</f>
        <v/>
      </c>
      <c r="E134">
        <f>IF(C134="","",C134*D134)</f>
        <v/>
      </c>
      <c r="F134">
        <f>IF(A134="","",SUMIFS(C:C,A:A,A134,B:B,"&lt;="&amp;B134))</f>
        <v/>
      </c>
      <c r="G134">
        <f>IF(A134="","",SUMIFS(Transactions!D:D,Transactions!B:B,A134,Transactions!C:C,"Sell"))</f>
        <v/>
      </c>
      <c r="H134">
        <f>IF(A134="","",IF(G134&lt;=0,0,MAX(0,MIN(C134,G134-SUMIFS(H$2:H$133,A$2:A$133,A134)))))</f>
        <v/>
      </c>
      <c r="I134">
        <f>IF(C134="","",MAX(0,C134-H134))</f>
        <v/>
      </c>
      <c r="J134">
        <f>IF(I134="","",I134*D134)</f>
        <v/>
      </c>
    </row>
    <row r="135">
      <c r="A135">
        <f>IFERROR(INDEX(SORT(FILTER(Transactions!B$2:B$1000,(Transactions!C$2:C$1000="Buy")*(Transactions!B$2:B$1000&lt;&gt;"")),1,1),134),"")</f>
        <v/>
      </c>
      <c r="B135">
        <f>IF(A135="","",INDEX(SORT(FILTER(Transactions!A$2:G$1000,(Transactions!C$2:C$1000="Buy")*(Transactions!B$2:B$1000&lt;&gt;"")),2,1),134,1))</f>
        <v/>
      </c>
      <c r="C135">
        <f>IF(A135="","",INDEX(SORT(FILTER(Transactions!A$2:G$1000,(Transactions!C$2:C$1000="Buy")*(Transactions!B$2:B$1000&lt;&gt;"")),2,1),134,4))</f>
        <v/>
      </c>
      <c r="D135">
        <f>IF(A135="","",INDEX(SORT(FILTER(Transactions!A$2:G$1000,(Transactions!C$2:C$1000="Buy")*(Transactions!B$2:B$1000&lt;&gt;"")),2,1),134,5))</f>
        <v/>
      </c>
      <c r="E135">
        <f>IF(C135="","",C135*D135)</f>
        <v/>
      </c>
      <c r="F135">
        <f>IF(A135="","",SUMIFS(C:C,A:A,A135,B:B,"&lt;="&amp;B135))</f>
        <v/>
      </c>
      <c r="G135">
        <f>IF(A135="","",SUMIFS(Transactions!D:D,Transactions!B:B,A135,Transactions!C:C,"Sell"))</f>
        <v/>
      </c>
      <c r="H135">
        <f>IF(A135="","",IF(G135&lt;=0,0,MAX(0,MIN(C135,G135-SUMIFS(H$2:H$134,A$2:A$134,A135)))))</f>
        <v/>
      </c>
      <c r="I135">
        <f>IF(C135="","",MAX(0,C135-H135))</f>
        <v/>
      </c>
      <c r="J135">
        <f>IF(I135="","",I135*D135)</f>
        <v/>
      </c>
    </row>
    <row r="136">
      <c r="A136">
        <f>IFERROR(INDEX(SORT(FILTER(Transactions!B$2:B$1000,(Transactions!C$2:C$1000="Buy")*(Transactions!B$2:B$1000&lt;&gt;"")),1,1),135),"")</f>
        <v/>
      </c>
      <c r="B136">
        <f>IF(A136="","",INDEX(SORT(FILTER(Transactions!A$2:G$1000,(Transactions!C$2:C$1000="Buy")*(Transactions!B$2:B$1000&lt;&gt;"")),2,1),135,1))</f>
        <v/>
      </c>
      <c r="C136">
        <f>IF(A136="","",INDEX(SORT(FILTER(Transactions!A$2:G$1000,(Transactions!C$2:C$1000="Buy")*(Transactions!B$2:B$1000&lt;&gt;"")),2,1),135,4))</f>
        <v/>
      </c>
      <c r="D136">
        <f>IF(A136="","",INDEX(SORT(FILTER(Transactions!A$2:G$1000,(Transactions!C$2:C$1000="Buy")*(Transactions!B$2:B$1000&lt;&gt;"")),2,1),135,5))</f>
        <v/>
      </c>
      <c r="E136">
        <f>IF(C136="","",C136*D136)</f>
        <v/>
      </c>
      <c r="F136">
        <f>IF(A136="","",SUMIFS(C:C,A:A,A136,B:B,"&lt;="&amp;B136))</f>
        <v/>
      </c>
      <c r="G136">
        <f>IF(A136="","",SUMIFS(Transactions!D:D,Transactions!B:B,A136,Transactions!C:C,"Sell"))</f>
        <v/>
      </c>
      <c r="H136">
        <f>IF(A136="","",IF(G136&lt;=0,0,MAX(0,MIN(C136,G136-SUMIFS(H$2:H$135,A$2:A$135,A136)))))</f>
        <v/>
      </c>
      <c r="I136">
        <f>IF(C136="","",MAX(0,C136-H136))</f>
        <v/>
      </c>
      <c r="J136">
        <f>IF(I136="","",I136*D136)</f>
        <v/>
      </c>
    </row>
    <row r="137">
      <c r="A137">
        <f>IFERROR(INDEX(SORT(FILTER(Transactions!B$2:B$1000,(Transactions!C$2:C$1000="Buy")*(Transactions!B$2:B$1000&lt;&gt;"")),1,1),136),"")</f>
        <v/>
      </c>
      <c r="B137">
        <f>IF(A137="","",INDEX(SORT(FILTER(Transactions!A$2:G$1000,(Transactions!C$2:C$1000="Buy")*(Transactions!B$2:B$1000&lt;&gt;"")),2,1),136,1))</f>
        <v/>
      </c>
      <c r="C137">
        <f>IF(A137="","",INDEX(SORT(FILTER(Transactions!A$2:G$1000,(Transactions!C$2:C$1000="Buy")*(Transactions!B$2:B$1000&lt;&gt;"")),2,1),136,4))</f>
        <v/>
      </c>
      <c r="D137">
        <f>IF(A137="","",INDEX(SORT(FILTER(Transactions!A$2:G$1000,(Transactions!C$2:C$1000="Buy")*(Transactions!B$2:B$1000&lt;&gt;"")),2,1),136,5))</f>
        <v/>
      </c>
      <c r="E137">
        <f>IF(C137="","",C137*D137)</f>
        <v/>
      </c>
      <c r="F137">
        <f>IF(A137="","",SUMIFS(C:C,A:A,A137,B:B,"&lt;="&amp;B137))</f>
        <v/>
      </c>
      <c r="G137">
        <f>IF(A137="","",SUMIFS(Transactions!D:D,Transactions!B:B,A137,Transactions!C:C,"Sell"))</f>
        <v/>
      </c>
      <c r="H137">
        <f>IF(A137="","",IF(G137&lt;=0,0,MAX(0,MIN(C137,G137-SUMIFS(H$2:H$136,A$2:A$136,A137)))))</f>
        <v/>
      </c>
      <c r="I137">
        <f>IF(C137="","",MAX(0,C137-H137))</f>
        <v/>
      </c>
      <c r="J137">
        <f>IF(I137="","",I137*D137)</f>
        <v/>
      </c>
    </row>
    <row r="138">
      <c r="A138">
        <f>IFERROR(INDEX(SORT(FILTER(Transactions!B$2:B$1000,(Transactions!C$2:C$1000="Buy")*(Transactions!B$2:B$1000&lt;&gt;"")),1,1),137),"")</f>
        <v/>
      </c>
      <c r="B138">
        <f>IF(A138="","",INDEX(SORT(FILTER(Transactions!A$2:G$1000,(Transactions!C$2:C$1000="Buy")*(Transactions!B$2:B$1000&lt;&gt;"")),2,1),137,1))</f>
        <v/>
      </c>
      <c r="C138">
        <f>IF(A138="","",INDEX(SORT(FILTER(Transactions!A$2:G$1000,(Transactions!C$2:C$1000="Buy")*(Transactions!B$2:B$1000&lt;&gt;"")),2,1),137,4))</f>
        <v/>
      </c>
      <c r="D138">
        <f>IF(A138="","",INDEX(SORT(FILTER(Transactions!A$2:G$1000,(Transactions!C$2:C$1000="Buy")*(Transactions!B$2:B$1000&lt;&gt;"")),2,1),137,5))</f>
        <v/>
      </c>
      <c r="E138">
        <f>IF(C138="","",C138*D138)</f>
        <v/>
      </c>
      <c r="F138">
        <f>IF(A138="","",SUMIFS(C:C,A:A,A138,B:B,"&lt;="&amp;B138))</f>
        <v/>
      </c>
      <c r="G138">
        <f>IF(A138="","",SUMIFS(Transactions!D:D,Transactions!B:B,A138,Transactions!C:C,"Sell"))</f>
        <v/>
      </c>
      <c r="H138">
        <f>IF(A138="","",IF(G138&lt;=0,0,MAX(0,MIN(C138,G138-SUMIFS(H$2:H$137,A$2:A$137,A138)))))</f>
        <v/>
      </c>
      <c r="I138">
        <f>IF(C138="","",MAX(0,C138-H138))</f>
        <v/>
      </c>
      <c r="J138">
        <f>IF(I138="","",I138*D138)</f>
        <v/>
      </c>
    </row>
    <row r="139">
      <c r="A139">
        <f>IFERROR(INDEX(SORT(FILTER(Transactions!B$2:B$1000,(Transactions!C$2:C$1000="Buy")*(Transactions!B$2:B$1000&lt;&gt;"")),1,1),138),"")</f>
        <v/>
      </c>
      <c r="B139">
        <f>IF(A139="","",INDEX(SORT(FILTER(Transactions!A$2:G$1000,(Transactions!C$2:C$1000="Buy")*(Transactions!B$2:B$1000&lt;&gt;"")),2,1),138,1))</f>
        <v/>
      </c>
      <c r="C139">
        <f>IF(A139="","",INDEX(SORT(FILTER(Transactions!A$2:G$1000,(Transactions!C$2:C$1000="Buy")*(Transactions!B$2:B$1000&lt;&gt;"")),2,1),138,4))</f>
        <v/>
      </c>
      <c r="D139">
        <f>IF(A139="","",INDEX(SORT(FILTER(Transactions!A$2:G$1000,(Transactions!C$2:C$1000="Buy")*(Transactions!B$2:B$1000&lt;&gt;"")),2,1),138,5))</f>
        <v/>
      </c>
      <c r="E139">
        <f>IF(C139="","",C139*D139)</f>
        <v/>
      </c>
      <c r="F139">
        <f>IF(A139="","",SUMIFS(C:C,A:A,A139,B:B,"&lt;="&amp;B139))</f>
        <v/>
      </c>
      <c r="G139">
        <f>IF(A139="","",SUMIFS(Transactions!D:D,Transactions!B:B,A139,Transactions!C:C,"Sell"))</f>
        <v/>
      </c>
      <c r="H139">
        <f>IF(A139="","",IF(G139&lt;=0,0,MAX(0,MIN(C139,G139-SUMIFS(H$2:H$138,A$2:A$138,A139)))))</f>
        <v/>
      </c>
      <c r="I139">
        <f>IF(C139="","",MAX(0,C139-H139))</f>
        <v/>
      </c>
      <c r="J139">
        <f>IF(I139="","",I139*D139)</f>
        <v/>
      </c>
    </row>
    <row r="140">
      <c r="A140">
        <f>IFERROR(INDEX(SORT(FILTER(Transactions!B$2:B$1000,(Transactions!C$2:C$1000="Buy")*(Transactions!B$2:B$1000&lt;&gt;"")),1,1),139),"")</f>
        <v/>
      </c>
      <c r="B140">
        <f>IF(A140="","",INDEX(SORT(FILTER(Transactions!A$2:G$1000,(Transactions!C$2:C$1000="Buy")*(Transactions!B$2:B$1000&lt;&gt;"")),2,1),139,1))</f>
        <v/>
      </c>
      <c r="C140">
        <f>IF(A140="","",INDEX(SORT(FILTER(Transactions!A$2:G$1000,(Transactions!C$2:C$1000="Buy")*(Transactions!B$2:B$1000&lt;&gt;"")),2,1),139,4))</f>
        <v/>
      </c>
      <c r="D140">
        <f>IF(A140="","",INDEX(SORT(FILTER(Transactions!A$2:G$1000,(Transactions!C$2:C$1000="Buy")*(Transactions!B$2:B$1000&lt;&gt;"")),2,1),139,5))</f>
        <v/>
      </c>
      <c r="E140">
        <f>IF(C140="","",C140*D140)</f>
        <v/>
      </c>
      <c r="F140">
        <f>IF(A140="","",SUMIFS(C:C,A:A,A140,B:B,"&lt;="&amp;B140))</f>
        <v/>
      </c>
      <c r="G140">
        <f>IF(A140="","",SUMIFS(Transactions!D:D,Transactions!B:B,A140,Transactions!C:C,"Sell"))</f>
        <v/>
      </c>
      <c r="H140">
        <f>IF(A140="","",IF(G140&lt;=0,0,MAX(0,MIN(C140,G140-SUMIFS(H$2:H$139,A$2:A$139,A140)))))</f>
        <v/>
      </c>
      <c r="I140">
        <f>IF(C140="","",MAX(0,C140-H140))</f>
        <v/>
      </c>
      <c r="J140">
        <f>IF(I140="","",I140*D140)</f>
        <v/>
      </c>
    </row>
    <row r="141">
      <c r="A141">
        <f>IFERROR(INDEX(SORT(FILTER(Transactions!B$2:B$1000,(Transactions!C$2:C$1000="Buy")*(Transactions!B$2:B$1000&lt;&gt;"")),1,1),140),"")</f>
        <v/>
      </c>
      <c r="B141">
        <f>IF(A141="","",INDEX(SORT(FILTER(Transactions!A$2:G$1000,(Transactions!C$2:C$1000="Buy")*(Transactions!B$2:B$1000&lt;&gt;"")),2,1),140,1))</f>
        <v/>
      </c>
      <c r="C141">
        <f>IF(A141="","",INDEX(SORT(FILTER(Transactions!A$2:G$1000,(Transactions!C$2:C$1000="Buy")*(Transactions!B$2:B$1000&lt;&gt;"")),2,1),140,4))</f>
        <v/>
      </c>
      <c r="D141">
        <f>IF(A141="","",INDEX(SORT(FILTER(Transactions!A$2:G$1000,(Transactions!C$2:C$1000="Buy")*(Transactions!B$2:B$1000&lt;&gt;"")),2,1),140,5))</f>
        <v/>
      </c>
      <c r="E141">
        <f>IF(C141="","",C141*D141)</f>
        <v/>
      </c>
      <c r="F141">
        <f>IF(A141="","",SUMIFS(C:C,A:A,A141,B:B,"&lt;="&amp;B141))</f>
        <v/>
      </c>
      <c r="G141">
        <f>IF(A141="","",SUMIFS(Transactions!D:D,Transactions!B:B,A141,Transactions!C:C,"Sell"))</f>
        <v/>
      </c>
      <c r="H141">
        <f>IF(A141="","",IF(G141&lt;=0,0,MAX(0,MIN(C141,G141-SUMIFS(H$2:H$140,A$2:A$140,A141)))))</f>
        <v/>
      </c>
      <c r="I141">
        <f>IF(C141="","",MAX(0,C141-H141))</f>
        <v/>
      </c>
      <c r="J141">
        <f>IF(I141="","",I141*D141)</f>
        <v/>
      </c>
    </row>
    <row r="142">
      <c r="A142">
        <f>IFERROR(INDEX(SORT(FILTER(Transactions!B$2:B$1000,(Transactions!C$2:C$1000="Buy")*(Transactions!B$2:B$1000&lt;&gt;"")),1,1),141),"")</f>
        <v/>
      </c>
      <c r="B142">
        <f>IF(A142="","",INDEX(SORT(FILTER(Transactions!A$2:G$1000,(Transactions!C$2:C$1000="Buy")*(Transactions!B$2:B$1000&lt;&gt;"")),2,1),141,1))</f>
        <v/>
      </c>
      <c r="C142">
        <f>IF(A142="","",INDEX(SORT(FILTER(Transactions!A$2:G$1000,(Transactions!C$2:C$1000="Buy")*(Transactions!B$2:B$1000&lt;&gt;"")),2,1),141,4))</f>
        <v/>
      </c>
      <c r="D142">
        <f>IF(A142="","",INDEX(SORT(FILTER(Transactions!A$2:G$1000,(Transactions!C$2:C$1000="Buy")*(Transactions!B$2:B$1000&lt;&gt;"")),2,1),141,5))</f>
        <v/>
      </c>
      <c r="E142">
        <f>IF(C142="","",C142*D142)</f>
        <v/>
      </c>
      <c r="F142">
        <f>IF(A142="","",SUMIFS(C:C,A:A,A142,B:B,"&lt;="&amp;B142))</f>
        <v/>
      </c>
      <c r="G142">
        <f>IF(A142="","",SUMIFS(Transactions!D:D,Transactions!B:B,A142,Transactions!C:C,"Sell"))</f>
        <v/>
      </c>
      <c r="H142">
        <f>IF(A142="","",IF(G142&lt;=0,0,MAX(0,MIN(C142,G142-SUMIFS(H$2:H$141,A$2:A$141,A142)))))</f>
        <v/>
      </c>
      <c r="I142">
        <f>IF(C142="","",MAX(0,C142-H142))</f>
        <v/>
      </c>
      <c r="J142">
        <f>IF(I142="","",I142*D142)</f>
        <v/>
      </c>
    </row>
    <row r="143">
      <c r="A143">
        <f>IFERROR(INDEX(SORT(FILTER(Transactions!B$2:B$1000,(Transactions!C$2:C$1000="Buy")*(Transactions!B$2:B$1000&lt;&gt;"")),1,1),142),"")</f>
        <v/>
      </c>
      <c r="B143">
        <f>IF(A143="","",INDEX(SORT(FILTER(Transactions!A$2:G$1000,(Transactions!C$2:C$1000="Buy")*(Transactions!B$2:B$1000&lt;&gt;"")),2,1),142,1))</f>
        <v/>
      </c>
      <c r="C143">
        <f>IF(A143="","",INDEX(SORT(FILTER(Transactions!A$2:G$1000,(Transactions!C$2:C$1000="Buy")*(Transactions!B$2:B$1000&lt;&gt;"")),2,1),142,4))</f>
        <v/>
      </c>
      <c r="D143">
        <f>IF(A143="","",INDEX(SORT(FILTER(Transactions!A$2:G$1000,(Transactions!C$2:C$1000="Buy")*(Transactions!B$2:B$1000&lt;&gt;"")),2,1),142,5))</f>
        <v/>
      </c>
      <c r="E143">
        <f>IF(C143="","",C143*D143)</f>
        <v/>
      </c>
      <c r="F143">
        <f>IF(A143="","",SUMIFS(C:C,A:A,A143,B:B,"&lt;="&amp;B143))</f>
        <v/>
      </c>
      <c r="G143">
        <f>IF(A143="","",SUMIFS(Transactions!D:D,Transactions!B:B,A143,Transactions!C:C,"Sell"))</f>
        <v/>
      </c>
      <c r="H143">
        <f>IF(A143="","",IF(G143&lt;=0,0,MAX(0,MIN(C143,G143-SUMIFS(H$2:H$142,A$2:A$142,A143)))))</f>
        <v/>
      </c>
      <c r="I143">
        <f>IF(C143="","",MAX(0,C143-H143))</f>
        <v/>
      </c>
      <c r="J143">
        <f>IF(I143="","",I143*D143)</f>
        <v/>
      </c>
    </row>
    <row r="144">
      <c r="A144">
        <f>IFERROR(INDEX(SORT(FILTER(Transactions!B$2:B$1000,(Transactions!C$2:C$1000="Buy")*(Transactions!B$2:B$1000&lt;&gt;"")),1,1),143),"")</f>
        <v/>
      </c>
      <c r="B144">
        <f>IF(A144="","",INDEX(SORT(FILTER(Transactions!A$2:G$1000,(Transactions!C$2:C$1000="Buy")*(Transactions!B$2:B$1000&lt;&gt;"")),2,1),143,1))</f>
        <v/>
      </c>
      <c r="C144">
        <f>IF(A144="","",INDEX(SORT(FILTER(Transactions!A$2:G$1000,(Transactions!C$2:C$1000="Buy")*(Transactions!B$2:B$1000&lt;&gt;"")),2,1),143,4))</f>
        <v/>
      </c>
      <c r="D144">
        <f>IF(A144="","",INDEX(SORT(FILTER(Transactions!A$2:G$1000,(Transactions!C$2:C$1000="Buy")*(Transactions!B$2:B$1000&lt;&gt;"")),2,1),143,5))</f>
        <v/>
      </c>
      <c r="E144">
        <f>IF(C144="","",C144*D144)</f>
        <v/>
      </c>
      <c r="F144">
        <f>IF(A144="","",SUMIFS(C:C,A:A,A144,B:B,"&lt;="&amp;B144))</f>
        <v/>
      </c>
      <c r="G144">
        <f>IF(A144="","",SUMIFS(Transactions!D:D,Transactions!B:B,A144,Transactions!C:C,"Sell"))</f>
        <v/>
      </c>
      <c r="H144">
        <f>IF(A144="","",IF(G144&lt;=0,0,MAX(0,MIN(C144,G144-SUMIFS(H$2:H$143,A$2:A$143,A144)))))</f>
        <v/>
      </c>
      <c r="I144">
        <f>IF(C144="","",MAX(0,C144-H144))</f>
        <v/>
      </c>
      <c r="J144">
        <f>IF(I144="","",I144*D144)</f>
        <v/>
      </c>
    </row>
    <row r="145">
      <c r="A145">
        <f>IFERROR(INDEX(SORT(FILTER(Transactions!B$2:B$1000,(Transactions!C$2:C$1000="Buy")*(Transactions!B$2:B$1000&lt;&gt;"")),1,1),144),"")</f>
        <v/>
      </c>
      <c r="B145">
        <f>IF(A145="","",INDEX(SORT(FILTER(Transactions!A$2:G$1000,(Transactions!C$2:C$1000="Buy")*(Transactions!B$2:B$1000&lt;&gt;"")),2,1),144,1))</f>
        <v/>
      </c>
      <c r="C145">
        <f>IF(A145="","",INDEX(SORT(FILTER(Transactions!A$2:G$1000,(Transactions!C$2:C$1000="Buy")*(Transactions!B$2:B$1000&lt;&gt;"")),2,1),144,4))</f>
        <v/>
      </c>
      <c r="D145">
        <f>IF(A145="","",INDEX(SORT(FILTER(Transactions!A$2:G$1000,(Transactions!C$2:C$1000="Buy")*(Transactions!B$2:B$1000&lt;&gt;"")),2,1),144,5))</f>
        <v/>
      </c>
      <c r="E145">
        <f>IF(C145="","",C145*D145)</f>
        <v/>
      </c>
      <c r="F145">
        <f>IF(A145="","",SUMIFS(C:C,A:A,A145,B:B,"&lt;="&amp;B145))</f>
        <v/>
      </c>
      <c r="G145">
        <f>IF(A145="","",SUMIFS(Transactions!D:D,Transactions!B:B,A145,Transactions!C:C,"Sell"))</f>
        <v/>
      </c>
      <c r="H145">
        <f>IF(A145="","",IF(G145&lt;=0,0,MAX(0,MIN(C145,G145-SUMIFS(H$2:H$144,A$2:A$144,A145)))))</f>
        <v/>
      </c>
      <c r="I145">
        <f>IF(C145="","",MAX(0,C145-H145))</f>
        <v/>
      </c>
      <c r="J145">
        <f>IF(I145="","",I145*D145)</f>
        <v/>
      </c>
    </row>
    <row r="146">
      <c r="A146">
        <f>IFERROR(INDEX(SORT(FILTER(Transactions!B$2:B$1000,(Transactions!C$2:C$1000="Buy")*(Transactions!B$2:B$1000&lt;&gt;"")),1,1),145),"")</f>
        <v/>
      </c>
      <c r="B146">
        <f>IF(A146="","",INDEX(SORT(FILTER(Transactions!A$2:G$1000,(Transactions!C$2:C$1000="Buy")*(Transactions!B$2:B$1000&lt;&gt;"")),2,1),145,1))</f>
        <v/>
      </c>
      <c r="C146">
        <f>IF(A146="","",INDEX(SORT(FILTER(Transactions!A$2:G$1000,(Transactions!C$2:C$1000="Buy")*(Transactions!B$2:B$1000&lt;&gt;"")),2,1),145,4))</f>
        <v/>
      </c>
      <c r="D146">
        <f>IF(A146="","",INDEX(SORT(FILTER(Transactions!A$2:G$1000,(Transactions!C$2:C$1000="Buy")*(Transactions!B$2:B$1000&lt;&gt;"")),2,1),145,5))</f>
        <v/>
      </c>
      <c r="E146">
        <f>IF(C146="","",C146*D146)</f>
        <v/>
      </c>
      <c r="F146">
        <f>IF(A146="","",SUMIFS(C:C,A:A,A146,B:B,"&lt;="&amp;B146))</f>
        <v/>
      </c>
      <c r="G146">
        <f>IF(A146="","",SUMIFS(Transactions!D:D,Transactions!B:B,A146,Transactions!C:C,"Sell"))</f>
        <v/>
      </c>
      <c r="H146">
        <f>IF(A146="","",IF(G146&lt;=0,0,MAX(0,MIN(C146,G146-SUMIFS(H$2:H$145,A$2:A$145,A146)))))</f>
        <v/>
      </c>
      <c r="I146">
        <f>IF(C146="","",MAX(0,C146-H146))</f>
        <v/>
      </c>
      <c r="J146">
        <f>IF(I146="","",I146*D146)</f>
        <v/>
      </c>
    </row>
    <row r="147">
      <c r="A147">
        <f>IFERROR(INDEX(SORT(FILTER(Transactions!B$2:B$1000,(Transactions!C$2:C$1000="Buy")*(Transactions!B$2:B$1000&lt;&gt;"")),1,1),146),"")</f>
        <v/>
      </c>
      <c r="B147">
        <f>IF(A147="","",INDEX(SORT(FILTER(Transactions!A$2:G$1000,(Transactions!C$2:C$1000="Buy")*(Transactions!B$2:B$1000&lt;&gt;"")),2,1),146,1))</f>
        <v/>
      </c>
      <c r="C147">
        <f>IF(A147="","",INDEX(SORT(FILTER(Transactions!A$2:G$1000,(Transactions!C$2:C$1000="Buy")*(Transactions!B$2:B$1000&lt;&gt;"")),2,1),146,4))</f>
        <v/>
      </c>
      <c r="D147">
        <f>IF(A147="","",INDEX(SORT(FILTER(Transactions!A$2:G$1000,(Transactions!C$2:C$1000="Buy")*(Transactions!B$2:B$1000&lt;&gt;"")),2,1),146,5))</f>
        <v/>
      </c>
      <c r="E147">
        <f>IF(C147="","",C147*D147)</f>
        <v/>
      </c>
      <c r="F147">
        <f>IF(A147="","",SUMIFS(C:C,A:A,A147,B:B,"&lt;="&amp;B147))</f>
        <v/>
      </c>
      <c r="G147">
        <f>IF(A147="","",SUMIFS(Transactions!D:D,Transactions!B:B,A147,Transactions!C:C,"Sell"))</f>
        <v/>
      </c>
      <c r="H147">
        <f>IF(A147="","",IF(G147&lt;=0,0,MAX(0,MIN(C147,G147-SUMIFS(H$2:H$146,A$2:A$146,A147)))))</f>
        <v/>
      </c>
      <c r="I147">
        <f>IF(C147="","",MAX(0,C147-H147))</f>
        <v/>
      </c>
      <c r="J147">
        <f>IF(I147="","",I147*D147)</f>
        <v/>
      </c>
    </row>
    <row r="148">
      <c r="A148">
        <f>IFERROR(INDEX(SORT(FILTER(Transactions!B$2:B$1000,(Transactions!C$2:C$1000="Buy")*(Transactions!B$2:B$1000&lt;&gt;"")),1,1),147),"")</f>
        <v/>
      </c>
      <c r="B148">
        <f>IF(A148="","",INDEX(SORT(FILTER(Transactions!A$2:G$1000,(Transactions!C$2:C$1000="Buy")*(Transactions!B$2:B$1000&lt;&gt;"")),2,1),147,1))</f>
        <v/>
      </c>
      <c r="C148">
        <f>IF(A148="","",INDEX(SORT(FILTER(Transactions!A$2:G$1000,(Transactions!C$2:C$1000="Buy")*(Transactions!B$2:B$1000&lt;&gt;"")),2,1),147,4))</f>
        <v/>
      </c>
      <c r="D148">
        <f>IF(A148="","",INDEX(SORT(FILTER(Transactions!A$2:G$1000,(Transactions!C$2:C$1000="Buy")*(Transactions!B$2:B$1000&lt;&gt;"")),2,1),147,5))</f>
        <v/>
      </c>
      <c r="E148">
        <f>IF(C148="","",C148*D148)</f>
        <v/>
      </c>
      <c r="F148">
        <f>IF(A148="","",SUMIFS(C:C,A:A,A148,B:B,"&lt;="&amp;B148))</f>
        <v/>
      </c>
      <c r="G148">
        <f>IF(A148="","",SUMIFS(Transactions!D:D,Transactions!B:B,A148,Transactions!C:C,"Sell"))</f>
        <v/>
      </c>
      <c r="H148">
        <f>IF(A148="","",IF(G148&lt;=0,0,MAX(0,MIN(C148,G148-SUMIFS(H$2:H$147,A$2:A$147,A148)))))</f>
        <v/>
      </c>
      <c r="I148">
        <f>IF(C148="","",MAX(0,C148-H148))</f>
        <v/>
      </c>
      <c r="J148">
        <f>IF(I148="","",I148*D148)</f>
        <v/>
      </c>
    </row>
    <row r="149">
      <c r="A149">
        <f>IFERROR(INDEX(SORT(FILTER(Transactions!B$2:B$1000,(Transactions!C$2:C$1000="Buy")*(Transactions!B$2:B$1000&lt;&gt;"")),1,1),148),"")</f>
        <v/>
      </c>
      <c r="B149">
        <f>IF(A149="","",INDEX(SORT(FILTER(Transactions!A$2:G$1000,(Transactions!C$2:C$1000="Buy")*(Transactions!B$2:B$1000&lt;&gt;"")),2,1),148,1))</f>
        <v/>
      </c>
      <c r="C149">
        <f>IF(A149="","",INDEX(SORT(FILTER(Transactions!A$2:G$1000,(Transactions!C$2:C$1000="Buy")*(Transactions!B$2:B$1000&lt;&gt;"")),2,1),148,4))</f>
        <v/>
      </c>
      <c r="D149">
        <f>IF(A149="","",INDEX(SORT(FILTER(Transactions!A$2:G$1000,(Transactions!C$2:C$1000="Buy")*(Transactions!B$2:B$1000&lt;&gt;"")),2,1),148,5))</f>
        <v/>
      </c>
      <c r="E149">
        <f>IF(C149="","",C149*D149)</f>
        <v/>
      </c>
      <c r="F149">
        <f>IF(A149="","",SUMIFS(C:C,A:A,A149,B:B,"&lt;="&amp;B149))</f>
        <v/>
      </c>
      <c r="G149">
        <f>IF(A149="","",SUMIFS(Transactions!D:D,Transactions!B:B,A149,Transactions!C:C,"Sell"))</f>
        <v/>
      </c>
      <c r="H149">
        <f>IF(A149="","",IF(G149&lt;=0,0,MAX(0,MIN(C149,G149-SUMIFS(H$2:H$148,A$2:A$148,A149)))))</f>
        <v/>
      </c>
      <c r="I149">
        <f>IF(C149="","",MAX(0,C149-H149))</f>
        <v/>
      </c>
      <c r="J149">
        <f>IF(I149="","",I149*D149)</f>
        <v/>
      </c>
    </row>
    <row r="150">
      <c r="A150">
        <f>IFERROR(INDEX(SORT(FILTER(Transactions!B$2:B$1000,(Transactions!C$2:C$1000="Buy")*(Transactions!B$2:B$1000&lt;&gt;"")),1,1),149),"")</f>
        <v/>
      </c>
      <c r="B150">
        <f>IF(A150="","",INDEX(SORT(FILTER(Transactions!A$2:G$1000,(Transactions!C$2:C$1000="Buy")*(Transactions!B$2:B$1000&lt;&gt;"")),2,1),149,1))</f>
        <v/>
      </c>
      <c r="C150">
        <f>IF(A150="","",INDEX(SORT(FILTER(Transactions!A$2:G$1000,(Transactions!C$2:C$1000="Buy")*(Transactions!B$2:B$1000&lt;&gt;"")),2,1),149,4))</f>
        <v/>
      </c>
      <c r="D150">
        <f>IF(A150="","",INDEX(SORT(FILTER(Transactions!A$2:G$1000,(Transactions!C$2:C$1000="Buy")*(Transactions!B$2:B$1000&lt;&gt;"")),2,1),149,5))</f>
        <v/>
      </c>
      <c r="E150">
        <f>IF(C150="","",C150*D150)</f>
        <v/>
      </c>
      <c r="F150">
        <f>IF(A150="","",SUMIFS(C:C,A:A,A150,B:B,"&lt;="&amp;B150))</f>
        <v/>
      </c>
      <c r="G150">
        <f>IF(A150="","",SUMIFS(Transactions!D:D,Transactions!B:B,A150,Transactions!C:C,"Sell"))</f>
        <v/>
      </c>
      <c r="H150">
        <f>IF(A150="","",IF(G150&lt;=0,0,MAX(0,MIN(C150,G150-SUMIFS(H$2:H$149,A$2:A$149,A150)))))</f>
        <v/>
      </c>
      <c r="I150">
        <f>IF(C150="","",MAX(0,C150-H150))</f>
        <v/>
      </c>
      <c r="J150">
        <f>IF(I150="","",I150*D150)</f>
        <v/>
      </c>
    </row>
    <row r="151">
      <c r="A151">
        <f>IFERROR(INDEX(SORT(FILTER(Transactions!B$2:B$1000,(Transactions!C$2:C$1000="Buy")*(Transactions!B$2:B$1000&lt;&gt;"")),1,1),150),"")</f>
        <v/>
      </c>
      <c r="B151">
        <f>IF(A151="","",INDEX(SORT(FILTER(Transactions!A$2:G$1000,(Transactions!C$2:C$1000="Buy")*(Transactions!B$2:B$1000&lt;&gt;"")),2,1),150,1))</f>
        <v/>
      </c>
      <c r="C151">
        <f>IF(A151="","",INDEX(SORT(FILTER(Transactions!A$2:G$1000,(Transactions!C$2:C$1000="Buy")*(Transactions!B$2:B$1000&lt;&gt;"")),2,1),150,4))</f>
        <v/>
      </c>
      <c r="D151">
        <f>IF(A151="","",INDEX(SORT(FILTER(Transactions!A$2:G$1000,(Transactions!C$2:C$1000="Buy")*(Transactions!B$2:B$1000&lt;&gt;"")),2,1),150,5))</f>
        <v/>
      </c>
      <c r="E151">
        <f>IF(C151="","",C151*D151)</f>
        <v/>
      </c>
      <c r="F151">
        <f>IF(A151="","",SUMIFS(C:C,A:A,A151,B:B,"&lt;="&amp;B151))</f>
        <v/>
      </c>
      <c r="G151">
        <f>IF(A151="","",SUMIFS(Transactions!D:D,Transactions!B:B,A151,Transactions!C:C,"Sell"))</f>
        <v/>
      </c>
      <c r="H151">
        <f>IF(A151="","",IF(G151&lt;=0,0,MAX(0,MIN(C151,G151-SUMIFS(H$2:H$150,A$2:A$150,A151)))))</f>
        <v/>
      </c>
      <c r="I151">
        <f>IF(C151="","",MAX(0,C151-H151))</f>
        <v/>
      </c>
      <c r="J151">
        <f>IF(I151="","",I151*D151)</f>
        <v/>
      </c>
    </row>
    <row r="152">
      <c r="A152">
        <f>IFERROR(INDEX(SORT(FILTER(Transactions!B$2:B$1000,(Transactions!C$2:C$1000="Buy")*(Transactions!B$2:B$1000&lt;&gt;"")),1,1),151),"")</f>
        <v/>
      </c>
      <c r="B152">
        <f>IF(A152="","",INDEX(SORT(FILTER(Transactions!A$2:G$1000,(Transactions!C$2:C$1000="Buy")*(Transactions!B$2:B$1000&lt;&gt;"")),2,1),151,1))</f>
        <v/>
      </c>
      <c r="C152">
        <f>IF(A152="","",INDEX(SORT(FILTER(Transactions!A$2:G$1000,(Transactions!C$2:C$1000="Buy")*(Transactions!B$2:B$1000&lt;&gt;"")),2,1),151,4))</f>
        <v/>
      </c>
      <c r="D152">
        <f>IF(A152="","",INDEX(SORT(FILTER(Transactions!A$2:G$1000,(Transactions!C$2:C$1000="Buy")*(Transactions!B$2:B$1000&lt;&gt;"")),2,1),151,5))</f>
        <v/>
      </c>
      <c r="E152">
        <f>IF(C152="","",C152*D152)</f>
        <v/>
      </c>
      <c r="F152">
        <f>IF(A152="","",SUMIFS(C:C,A:A,A152,B:B,"&lt;="&amp;B152))</f>
        <v/>
      </c>
      <c r="G152">
        <f>IF(A152="","",SUMIFS(Transactions!D:D,Transactions!B:B,A152,Transactions!C:C,"Sell"))</f>
        <v/>
      </c>
      <c r="H152">
        <f>IF(A152="","",IF(G152&lt;=0,0,MAX(0,MIN(C152,G152-SUMIFS(H$2:H$151,A$2:A$151,A152)))))</f>
        <v/>
      </c>
      <c r="I152">
        <f>IF(C152="","",MAX(0,C152-H152))</f>
        <v/>
      </c>
      <c r="J152">
        <f>IF(I152="","",I152*D152)</f>
        <v/>
      </c>
    </row>
    <row r="153">
      <c r="A153">
        <f>IFERROR(INDEX(SORT(FILTER(Transactions!B$2:B$1000,(Transactions!C$2:C$1000="Buy")*(Transactions!B$2:B$1000&lt;&gt;"")),1,1),152),"")</f>
        <v/>
      </c>
      <c r="B153">
        <f>IF(A153="","",INDEX(SORT(FILTER(Transactions!A$2:G$1000,(Transactions!C$2:C$1000="Buy")*(Transactions!B$2:B$1000&lt;&gt;"")),2,1),152,1))</f>
        <v/>
      </c>
      <c r="C153">
        <f>IF(A153="","",INDEX(SORT(FILTER(Transactions!A$2:G$1000,(Transactions!C$2:C$1000="Buy")*(Transactions!B$2:B$1000&lt;&gt;"")),2,1),152,4))</f>
        <v/>
      </c>
      <c r="D153">
        <f>IF(A153="","",INDEX(SORT(FILTER(Transactions!A$2:G$1000,(Transactions!C$2:C$1000="Buy")*(Transactions!B$2:B$1000&lt;&gt;"")),2,1),152,5))</f>
        <v/>
      </c>
      <c r="E153">
        <f>IF(C153="","",C153*D153)</f>
        <v/>
      </c>
      <c r="F153">
        <f>IF(A153="","",SUMIFS(C:C,A:A,A153,B:B,"&lt;="&amp;B153))</f>
        <v/>
      </c>
      <c r="G153">
        <f>IF(A153="","",SUMIFS(Transactions!D:D,Transactions!B:B,A153,Transactions!C:C,"Sell"))</f>
        <v/>
      </c>
      <c r="H153">
        <f>IF(A153="","",IF(G153&lt;=0,0,MAX(0,MIN(C153,G153-SUMIFS(H$2:H$152,A$2:A$152,A153)))))</f>
        <v/>
      </c>
      <c r="I153">
        <f>IF(C153="","",MAX(0,C153-H153))</f>
        <v/>
      </c>
      <c r="J153">
        <f>IF(I153="","",I153*D153)</f>
        <v/>
      </c>
    </row>
    <row r="154">
      <c r="A154">
        <f>IFERROR(INDEX(SORT(FILTER(Transactions!B$2:B$1000,(Transactions!C$2:C$1000="Buy")*(Transactions!B$2:B$1000&lt;&gt;"")),1,1),153),"")</f>
        <v/>
      </c>
      <c r="B154">
        <f>IF(A154="","",INDEX(SORT(FILTER(Transactions!A$2:G$1000,(Transactions!C$2:C$1000="Buy")*(Transactions!B$2:B$1000&lt;&gt;"")),2,1),153,1))</f>
        <v/>
      </c>
      <c r="C154">
        <f>IF(A154="","",INDEX(SORT(FILTER(Transactions!A$2:G$1000,(Transactions!C$2:C$1000="Buy")*(Transactions!B$2:B$1000&lt;&gt;"")),2,1),153,4))</f>
        <v/>
      </c>
      <c r="D154">
        <f>IF(A154="","",INDEX(SORT(FILTER(Transactions!A$2:G$1000,(Transactions!C$2:C$1000="Buy")*(Transactions!B$2:B$1000&lt;&gt;"")),2,1),153,5))</f>
        <v/>
      </c>
      <c r="E154">
        <f>IF(C154="","",C154*D154)</f>
        <v/>
      </c>
      <c r="F154">
        <f>IF(A154="","",SUMIFS(C:C,A:A,A154,B:B,"&lt;="&amp;B154))</f>
        <v/>
      </c>
      <c r="G154">
        <f>IF(A154="","",SUMIFS(Transactions!D:D,Transactions!B:B,A154,Transactions!C:C,"Sell"))</f>
        <v/>
      </c>
      <c r="H154">
        <f>IF(A154="","",IF(G154&lt;=0,0,MAX(0,MIN(C154,G154-SUMIFS(H$2:H$153,A$2:A$153,A154)))))</f>
        <v/>
      </c>
      <c r="I154">
        <f>IF(C154="","",MAX(0,C154-H154))</f>
        <v/>
      </c>
      <c r="J154">
        <f>IF(I154="","",I154*D154)</f>
        <v/>
      </c>
    </row>
    <row r="155">
      <c r="A155">
        <f>IFERROR(INDEX(SORT(FILTER(Transactions!B$2:B$1000,(Transactions!C$2:C$1000="Buy")*(Transactions!B$2:B$1000&lt;&gt;"")),1,1),154),"")</f>
        <v/>
      </c>
      <c r="B155">
        <f>IF(A155="","",INDEX(SORT(FILTER(Transactions!A$2:G$1000,(Transactions!C$2:C$1000="Buy")*(Transactions!B$2:B$1000&lt;&gt;"")),2,1),154,1))</f>
        <v/>
      </c>
      <c r="C155">
        <f>IF(A155="","",INDEX(SORT(FILTER(Transactions!A$2:G$1000,(Transactions!C$2:C$1000="Buy")*(Transactions!B$2:B$1000&lt;&gt;"")),2,1),154,4))</f>
        <v/>
      </c>
      <c r="D155">
        <f>IF(A155="","",INDEX(SORT(FILTER(Transactions!A$2:G$1000,(Transactions!C$2:C$1000="Buy")*(Transactions!B$2:B$1000&lt;&gt;"")),2,1),154,5))</f>
        <v/>
      </c>
      <c r="E155">
        <f>IF(C155="","",C155*D155)</f>
        <v/>
      </c>
      <c r="F155">
        <f>IF(A155="","",SUMIFS(C:C,A:A,A155,B:B,"&lt;="&amp;B155))</f>
        <v/>
      </c>
      <c r="G155">
        <f>IF(A155="","",SUMIFS(Transactions!D:D,Transactions!B:B,A155,Transactions!C:C,"Sell"))</f>
        <v/>
      </c>
      <c r="H155">
        <f>IF(A155="","",IF(G155&lt;=0,0,MAX(0,MIN(C155,G155-SUMIFS(H$2:H$154,A$2:A$154,A155)))))</f>
        <v/>
      </c>
      <c r="I155">
        <f>IF(C155="","",MAX(0,C155-H155))</f>
        <v/>
      </c>
      <c r="J155">
        <f>IF(I155="","",I155*D155)</f>
        <v/>
      </c>
    </row>
    <row r="156">
      <c r="A156">
        <f>IFERROR(INDEX(SORT(FILTER(Transactions!B$2:B$1000,(Transactions!C$2:C$1000="Buy")*(Transactions!B$2:B$1000&lt;&gt;"")),1,1),155),"")</f>
        <v/>
      </c>
      <c r="B156">
        <f>IF(A156="","",INDEX(SORT(FILTER(Transactions!A$2:G$1000,(Transactions!C$2:C$1000="Buy")*(Transactions!B$2:B$1000&lt;&gt;"")),2,1),155,1))</f>
        <v/>
      </c>
      <c r="C156">
        <f>IF(A156="","",INDEX(SORT(FILTER(Transactions!A$2:G$1000,(Transactions!C$2:C$1000="Buy")*(Transactions!B$2:B$1000&lt;&gt;"")),2,1),155,4))</f>
        <v/>
      </c>
      <c r="D156">
        <f>IF(A156="","",INDEX(SORT(FILTER(Transactions!A$2:G$1000,(Transactions!C$2:C$1000="Buy")*(Transactions!B$2:B$1000&lt;&gt;"")),2,1),155,5))</f>
        <v/>
      </c>
      <c r="E156">
        <f>IF(C156="","",C156*D156)</f>
        <v/>
      </c>
      <c r="F156">
        <f>IF(A156="","",SUMIFS(C:C,A:A,A156,B:B,"&lt;="&amp;B156))</f>
        <v/>
      </c>
      <c r="G156">
        <f>IF(A156="","",SUMIFS(Transactions!D:D,Transactions!B:B,A156,Transactions!C:C,"Sell"))</f>
        <v/>
      </c>
      <c r="H156">
        <f>IF(A156="","",IF(G156&lt;=0,0,MAX(0,MIN(C156,G156-SUMIFS(H$2:H$155,A$2:A$155,A156)))))</f>
        <v/>
      </c>
      <c r="I156">
        <f>IF(C156="","",MAX(0,C156-H156))</f>
        <v/>
      </c>
      <c r="J156">
        <f>IF(I156="","",I156*D156)</f>
        <v/>
      </c>
    </row>
    <row r="157">
      <c r="A157">
        <f>IFERROR(INDEX(SORT(FILTER(Transactions!B$2:B$1000,(Transactions!C$2:C$1000="Buy")*(Transactions!B$2:B$1000&lt;&gt;"")),1,1),156),"")</f>
        <v/>
      </c>
      <c r="B157">
        <f>IF(A157="","",INDEX(SORT(FILTER(Transactions!A$2:G$1000,(Transactions!C$2:C$1000="Buy")*(Transactions!B$2:B$1000&lt;&gt;"")),2,1),156,1))</f>
        <v/>
      </c>
      <c r="C157">
        <f>IF(A157="","",INDEX(SORT(FILTER(Transactions!A$2:G$1000,(Transactions!C$2:C$1000="Buy")*(Transactions!B$2:B$1000&lt;&gt;"")),2,1),156,4))</f>
        <v/>
      </c>
      <c r="D157">
        <f>IF(A157="","",INDEX(SORT(FILTER(Transactions!A$2:G$1000,(Transactions!C$2:C$1000="Buy")*(Transactions!B$2:B$1000&lt;&gt;"")),2,1),156,5))</f>
        <v/>
      </c>
      <c r="E157">
        <f>IF(C157="","",C157*D157)</f>
        <v/>
      </c>
      <c r="F157">
        <f>IF(A157="","",SUMIFS(C:C,A:A,A157,B:B,"&lt;="&amp;B157))</f>
        <v/>
      </c>
      <c r="G157">
        <f>IF(A157="","",SUMIFS(Transactions!D:D,Transactions!B:B,A157,Transactions!C:C,"Sell"))</f>
        <v/>
      </c>
      <c r="H157">
        <f>IF(A157="","",IF(G157&lt;=0,0,MAX(0,MIN(C157,G157-SUMIFS(H$2:H$156,A$2:A$156,A157)))))</f>
        <v/>
      </c>
      <c r="I157">
        <f>IF(C157="","",MAX(0,C157-H157))</f>
        <v/>
      </c>
      <c r="J157">
        <f>IF(I157="","",I157*D157)</f>
        <v/>
      </c>
    </row>
    <row r="158">
      <c r="A158">
        <f>IFERROR(INDEX(SORT(FILTER(Transactions!B$2:B$1000,(Transactions!C$2:C$1000="Buy")*(Transactions!B$2:B$1000&lt;&gt;"")),1,1),157),"")</f>
        <v/>
      </c>
      <c r="B158">
        <f>IF(A158="","",INDEX(SORT(FILTER(Transactions!A$2:G$1000,(Transactions!C$2:C$1000="Buy")*(Transactions!B$2:B$1000&lt;&gt;"")),2,1),157,1))</f>
        <v/>
      </c>
      <c r="C158">
        <f>IF(A158="","",INDEX(SORT(FILTER(Transactions!A$2:G$1000,(Transactions!C$2:C$1000="Buy")*(Transactions!B$2:B$1000&lt;&gt;"")),2,1),157,4))</f>
        <v/>
      </c>
      <c r="D158">
        <f>IF(A158="","",INDEX(SORT(FILTER(Transactions!A$2:G$1000,(Transactions!C$2:C$1000="Buy")*(Transactions!B$2:B$1000&lt;&gt;"")),2,1),157,5))</f>
        <v/>
      </c>
      <c r="E158">
        <f>IF(C158="","",C158*D158)</f>
        <v/>
      </c>
      <c r="F158">
        <f>IF(A158="","",SUMIFS(C:C,A:A,A158,B:B,"&lt;="&amp;B158))</f>
        <v/>
      </c>
      <c r="G158">
        <f>IF(A158="","",SUMIFS(Transactions!D:D,Transactions!B:B,A158,Transactions!C:C,"Sell"))</f>
        <v/>
      </c>
      <c r="H158">
        <f>IF(A158="","",IF(G158&lt;=0,0,MAX(0,MIN(C158,G158-SUMIFS(H$2:H$157,A$2:A$157,A158)))))</f>
        <v/>
      </c>
      <c r="I158">
        <f>IF(C158="","",MAX(0,C158-H158))</f>
        <v/>
      </c>
      <c r="J158">
        <f>IF(I158="","",I158*D158)</f>
        <v/>
      </c>
    </row>
    <row r="159">
      <c r="A159">
        <f>IFERROR(INDEX(SORT(FILTER(Transactions!B$2:B$1000,(Transactions!C$2:C$1000="Buy")*(Transactions!B$2:B$1000&lt;&gt;"")),1,1),158),"")</f>
        <v/>
      </c>
      <c r="B159">
        <f>IF(A159="","",INDEX(SORT(FILTER(Transactions!A$2:G$1000,(Transactions!C$2:C$1000="Buy")*(Transactions!B$2:B$1000&lt;&gt;"")),2,1),158,1))</f>
        <v/>
      </c>
      <c r="C159">
        <f>IF(A159="","",INDEX(SORT(FILTER(Transactions!A$2:G$1000,(Transactions!C$2:C$1000="Buy")*(Transactions!B$2:B$1000&lt;&gt;"")),2,1),158,4))</f>
        <v/>
      </c>
      <c r="D159">
        <f>IF(A159="","",INDEX(SORT(FILTER(Transactions!A$2:G$1000,(Transactions!C$2:C$1000="Buy")*(Transactions!B$2:B$1000&lt;&gt;"")),2,1),158,5))</f>
        <v/>
      </c>
      <c r="E159">
        <f>IF(C159="","",C159*D159)</f>
        <v/>
      </c>
      <c r="F159">
        <f>IF(A159="","",SUMIFS(C:C,A:A,A159,B:B,"&lt;="&amp;B159))</f>
        <v/>
      </c>
      <c r="G159">
        <f>IF(A159="","",SUMIFS(Transactions!D:D,Transactions!B:B,A159,Transactions!C:C,"Sell"))</f>
        <v/>
      </c>
      <c r="H159">
        <f>IF(A159="","",IF(G159&lt;=0,0,MAX(0,MIN(C159,G159-SUMIFS(H$2:H$158,A$2:A$158,A159)))))</f>
        <v/>
      </c>
      <c r="I159">
        <f>IF(C159="","",MAX(0,C159-H159))</f>
        <v/>
      </c>
      <c r="J159">
        <f>IF(I159="","",I159*D159)</f>
        <v/>
      </c>
    </row>
    <row r="160">
      <c r="A160">
        <f>IFERROR(INDEX(SORT(FILTER(Transactions!B$2:B$1000,(Transactions!C$2:C$1000="Buy")*(Transactions!B$2:B$1000&lt;&gt;"")),1,1),159),"")</f>
        <v/>
      </c>
      <c r="B160">
        <f>IF(A160="","",INDEX(SORT(FILTER(Transactions!A$2:G$1000,(Transactions!C$2:C$1000="Buy")*(Transactions!B$2:B$1000&lt;&gt;"")),2,1),159,1))</f>
        <v/>
      </c>
      <c r="C160">
        <f>IF(A160="","",INDEX(SORT(FILTER(Transactions!A$2:G$1000,(Transactions!C$2:C$1000="Buy")*(Transactions!B$2:B$1000&lt;&gt;"")),2,1),159,4))</f>
        <v/>
      </c>
      <c r="D160">
        <f>IF(A160="","",INDEX(SORT(FILTER(Transactions!A$2:G$1000,(Transactions!C$2:C$1000="Buy")*(Transactions!B$2:B$1000&lt;&gt;"")),2,1),159,5))</f>
        <v/>
      </c>
      <c r="E160">
        <f>IF(C160="","",C160*D160)</f>
        <v/>
      </c>
      <c r="F160">
        <f>IF(A160="","",SUMIFS(C:C,A:A,A160,B:B,"&lt;="&amp;B160))</f>
        <v/>
      </c>
      <c r="G160">
        <f>IF(A160="","",SUMIFS(Transactions!D:D,Transactions!B:B,A160,Transactions!C:C,"Sell"))</f>
        <v/>
      </c>
      <c r="H160">
        <f>IF(A160="","",IF(G160&lt;=0,0,MAX(0,MIN(C160,G160-SUMIFS(H$2:H$159,A$2:A$159,A160)))))</f>
        <v/>
      </c>
      <c r="I160">
        <f>IF(C160="","",MAX(0,C160-H160))</f>
        <v/>
      </c>
      <c r="J160">
        <f>IF(I160="","",I160*D160)</f>
        <v/>
      </c>
    </row>
    <row r="161">
      <c r="A161">
        <f>IFERROR(INDEX(SORT(FILTER(Transactions!B$2:B$1000,(Transactions!C$2:C$1000="Buy")*(Transactions!B$2:B$1000&lt;&gt;"")),1,1),160),"")</f>
        <v/>
      </c>
      <c r="B161">
        <f>IF(A161="","",INDEX(SORT(FILTER(Transactions!A$2:G$1000,(Transactions!C$2:C$1000="Buy")*(Transactions!B$2:B$1000&lt;&gt;"")),2,1),160,1))</f>
        <v/>
      </c>
      <c r="C161">
        <f>IF(A161="","",INDEX(SORT(FILTER(Transactions!A$2:G$1000,(Transactions!C$2:C$1000="Buy")*(Transactions!B$2:B$1000&lt;&gt;"")),2,1),160,4))</f>
        <v/>
      </c>
      <c r="D161">
        <f>IF(A161="","",INDEX(SORT(FILTER(Transactions!A$2:G$1000,(Transactions!C$2:C$1000="Buy")*(Transactions!B$2:B$1000&lt;&gt;"")),2,1),160,5))</f>
        <v/>
      </c>
      <c r="E161">
        <f>IF(C161="","",C161*D161)</f>
        <v/>
      </c>
      <c r="F161">
        <f>IF(A161="","",SUMIFS(C:C,A:A,A161,B:B,"&lt;="&amp;B161))</f>
        <v/>
      </c>
      <c r="G161">
        <f>IF(A161="","",SUMIFS(Transactions!D:D,Transactions!B:B,A161,Transactions!C:C,"Sell"))</f>
        <v/>
      </c>
      <c r="H161">
        <f>IF(A161="","",IF(G161&lt;=0,0,MAX(0,MIN(C161,G161-SUMIFS(H$2:H$160,A$2:A$160,A161)))))</f>
        <v/>
      </c>
      <c r="I161">
        <f>IF(C161="","",MAX(0,C161-H161))</f>
        <v/>
      </c>
      <c r="J161">
        <f>IF(I161="","",I161*D161)</f>
        <v/>
      </c>
    </row>
    <row r="162">
      <c r="A162">
        <f>IFERROR(INDEX(SORT(FILTER(Transactions!B$2:B$1000,(Transactions!C$2:C$1000="Buy")*(Transactions!B$2:B$1000&lt;&gt;"")),1,1),161),"")</f>
        <v/>
      </c>
      <c r="B162">
        <f>IF(A162="","",INDEX(SORT(FILTER(Transactions!A$2:G$1000,(Transactions!C$2:C$1000="Buy")*(Transactions!B$2:B$1000&lt;&gt;"")),2,1),161,1))</f>
        <v/>
      </c>
      <c r="C162">
        <f>IF(A162="","",INDEX(SORT(FILTER(Transactions!A$2:G$1000,(Transactions!C$2:C$1000="Buy")*(Transactions!B$2:B$1000&lt;&gt;"")),2,1),161,4))</f>
        <v/>
      </c>
      <c r="D162">
        <f>IF(A162="","",INDEX(SORT(FILTER(Transactions!A$2:G$1000,(Transactions!C$2:C$1000="Buy")*(Transactions!B$2:B$1000&lt;&gt;"")),2,1),161,5))</f>
        <v/>
      </c>
      <c r="E162">
        <f>IF(C162="","",C162*D162)</f>
        <v/>
      </c>
      <c r="F162">
        <f>IF(A162="","",SUMIFS(C:C,A:A,A162,B:B,"&lt;="&amp;B162))</f>
        <v/>
      </c>
      <c r="G162">
        <f>IF(A162="","",SUMIFS(Transactions!D:D,Transactions!B:B,A162,Transactions!C:C,"Sell"))</f>
        <v/>
      </c>
      <c r="H162">
        <f>IF(A162="","",IF(G162&lt;=0,0,MAX(0,MIN(C162,G162-SUMIFS(H$2:H$161,A$2:A$161,A162)))))</f>
        <v/>
      </c>
      <c r="I162">
        <f>IF(C162="","",MAX(0,C162-H162))</f>
        <v/>
      </c>
      <c r="J162">
        <f>IF(I162="","",I162*D162)</f>
        <v/>
      </c>
    </row>
    <row r="163">
      <c r="A163">
        <f>IFERROR(INDEX(SORT(FILTER(Transactions!B$2:B$1000,(Transactions!C$2:C$1000="Buy")*(Transactions!B$2:B$1000&lt;&gt;"")),1,1),162),"")</f>
        <v/>
      </c>
      <c r="B163">
        <f>IF(A163="","",INDEX(SORT(FILTER(Transactions!A$2:G$1000,(Transactions!C$2:C$1000="Buy")*(Transactions!B$2:B$1000&lt;&gt;"")),2,1),162,1))</f>
        <v/>
      </c>
      <c r="C163">
        <f>IF(A163="","",INDEX(SORT(FILTER(Transactions!A$2:G$1000,(Transactions!C$2:C$1000="Buy")*(Transactions!B$2:B$1000&lt;&gt;"")),2,1),162,4))</f>
        <v/>
      </c>
      <c r="D163">
        <f>IF(A163="","",INDEX(SORT(FILTER(Transactions!A$2:G$1000,(Transactions!C$2:C$1000="Buy")*(Transactions!B$2:B$1000&lt;&gt;"")),2,1),162,5))</f>
        <v/>
      </c>
      <c r="E163">
        <f>IF(C163="","",C163*D163)</f>
        <v/>
      </c>
      <c r="F163">
        <f>IF(A163="","",SUMIFS(C:C,A:A,A163,B:B,"&lt;="&amp;B163))</f>
        <v/>
      </c>
      <c r="G163">
        <f>IF(A163="","",SUMIFS(Transactions!D:D,Transactions!B:B,A163,Transactions!C:C,"Sell"))</f>
        <v/>
      </c>
      <c r="H163">
        <f>IF(A163="","",IF(G163&lt;=0,0,MAX(0,MIN(C163,G163-SUMIFS(H$2:H$162,A$2:A$162,A163)))))</f>
        <v/>
      </c>
      <c r="I163">
        <f>IF(C163="","",MAX(0,C163-H163))</f>
        <v/>
      </c>
      <c r="J163">
        <f>IF(I163="","",I163*D163)</f>
        <v/>
      </c>
    </row>
    <row r="164">
      <c r="A164">
        <f>IFERROR(INDEX(SORT(FILTER(Transactions!B$2:B$1000,(Transactions!C$2:C$1000="Buy")*(Transactions!B$2:B$1000&lt;&gt;"")),1,1),163),"")</f>
        <v/>
      </c>
      <c r="B164">
        <f>IF(A164="","",INDEX(SORT(FILTER(Transactions!A$2:G$1000,(Transactions!C$2:C$1000="Buy")*(Transactions!B$2:B$1000&lt;&gt;"")),2,1),163,1))</f>
        <v/>
      </c>
      <c r="C164">
        <f>IF(A164="","",INDEX(SORT(FILTER(Transactions!A$2:G$1000,(Transactions!C$2:C$1000="Buy")*(Transactions!B$2:B$1000&lt;&gt;"")),2,1),163,4))</f>
        <v/>
      </c>
      <c r="D164">
        <f>IF(A164="","",INDEX(SORT(FILTER(Transactions!A$2:G$1000,(Transactions!C$2:C$1000="Buy")*(Transactions!B$2:B$1000&lt;&gt;"")),2,1),163,5))</f>
        <v/>
      </c>
      <c r="E164">
        <f>IF(C164="","",C164*D164)</f>
        <v/>
      </c>
      <c r="F164">
        <f>IF(A164="","",SUMIFS(C:C,A:A,A164,B:B,"&lt;="&amp;B164))</f>
        <v/>
      </c>
      <c r="G164">
        <f>IF(A164="","",SUMIFS(Transactions!D:D,Transactions!B:B,A164,Transactions!C:C,"Sell"))</f>
        <v/>
      </c>
      <c r="H164">
        <f>IF(A164="","",IF(G164&lt;=0,0,MAX(0,MIN(C164,G164-SUMIFS(H$2:H$163,A$2:A$163,A164)))))</f>
        <v/>
      </c>
      <c r="I164">
        <f>IF(C164="","",MAX(0,C164-H164))</f>
        <v/>
      </c>
      <c r="J164">
        <f>IF(I164="","",I164*D164)</f>
        <v/>
      </c>
    </row>
    <row r="165">
      <c r="A165">
        <f>IFERROR(INDEX(SORT(FILTER(Transactions!B$2:B$1000,(Transactions!C$2:C$1000="Buy")*(Transactions!B$2:B$1000&lt;&gt;"")),1,1),164),"")</f>
        <v/>
      </c>
      <c r="B165">
        <f>IF(A165="","",INDEX(SORT(FILTER(Transactions!A$2:G$1000,(Transactions!C$2:C$1000="Buy")*(Transactions!B$2:B$1000&lt;&gt;"")),2,1),164,1))</f>
        <v/>
      </c>
      <c r="C165">
        <f>IF(A165="","",INDEX(SORT(FILTER(Transactions!A$2:G$1000,(Transactions!C$2:C$1000="Buy")*(Transactions!B$2:B$1000&lt;&gt;"")),2,1),164,4))</f>
        <v/>
      </c>
      <c r="D165">
        <f>IF(A165="","",INDEX(SORT(FILTER(Transactions!A$2:G$1000,(Transactions!C$2:C$1000="Buy")*(Transactions!B$2:B$1000&lt;&gt;"")),2,1),164,5))</f>
        <v/>
      </c>
      <c r="E165">
        <f>IF(C165="","",C165*D165)</f>
        <v/>
      </c>
      <c r="F165">
        <f>IF(A165="","",SUMIFS(C:C,A:A,A165,B:B,"&lt;="&amp;B165))</f>
        <v/>
      </c>
      <c r="G165">
        <f>IF(A165="","",SUMIFS(Transactions!D:D,Transactions!B:B,A165,Transactions!C:C,"Sell"))</f>
        <v/>
      </c>
      <c r="H165">
        <f>IF(A165="","",IF(G165&lt;=0,0,MAX(0,MIN(C165,G165-SUMIFS(H$2:H$164,A$2:A$164,A165)))))</f>
        <v/>
      </c>
      <c r="I165">
        <f>IF(C165="","",MAX(0,C165-H165))</f>
        <v/>
      </c>
      <c r="J165">
        <f>IF(I165="","",I165*D165)</f>
        <v/>
      </c>
    </row>
    <row r="166">
      <c r="A166">
        <f>IFERROR(INDEX(SORT(FILTER(Transactions!B$2:B$1000,(Transactions!C$2:C$1000="Buy")*(Transactions!B$2:B$1000&lt;&gt;"")),1,1),165),"")</f>
        <v/>
      </c>
      <c r="B166">
        <f>IF(A166="","",INDEX(SORT(FILTER(Transactions!A$2:G$1000,(Transactions!C$2:C$1000="Buy")*(Transactions!B$2:B$1000&lt;&gt;"")),2,1),165,1))</f>
        <v/>
      </c>
      <c r="C166">
        <f>IF(A166="","",INDEX(SORT(FILTER(Transactions!A$2:G$1000,(Transactions!C$2:C$1000="Buy")*(Transactions!B$2:B$1000&lt;&gt;"")),2,1),165,4))</f>
        <v/>
      </c>
      <c r="D166">
        <f>IF(A166="","",INDEX(SORT(FILTER(Transactions!A$2:G$1000,(Transactions!C$2:C$1000="Buy")*(Transactions!B$2:B$1000&lt;&gt;"")),2,1),165,5))</f>
        <v/>
      </c>
      <c r="E166">
        <f>IF(C166="","",C166*D166)</f>
        <v/>
      </c>
      <c r="F166">
        <f>IF(A166="","",SUMIFS(C:C,A:A,A166,B:B,"&lt;="&amp;B166))</f>
        <v/>
      </c>
      <c r="G166">
        <f>IF(A166="","",SUMIFS(Transactions!D:D,Transactions!B:B,A166,Transactions!C:C,"Sell"))</f>
        <v/>
      </c>
      <c r="H166">
        <f>IF(A166="","",IF(G166&lt;=0,0,MAX(0,MIN(C166,G166-SUMIFS(H$2:H$165,A$2:A$165,A166)))))</f>
        <v/>
      </c>
      <c r="I166">
        <f>IF(C166="","",MAX(0,C166-H166))</f>
        <v/>
      </c>
      <c r="J166">
        <f>IF(I166="","",I166*D166)</f>
        <v/>
      </c>
    </row>
    <row r="167">
      <c r="A167">
        <f>IFERROR(INDEX(SORT(FILTER(Transactions!B$2:B$1000,(Transactions!C$2:C$1000="Buy")*(Transactions!B$2:B$1000&lt;&gt;"")),1,1),166),"")</f>
        <v/>
      </c>
      <c r="B167">
        <f>IF(A167="","",INDEX(SORT(FILTER(Transactions!A$2:G$1000,(Transactions!C$2:C$1000="Buy")*(Transactions!B$2:B$1000&lt;&gt;"")),2,1),166,1))</f>
        <v/>
      </c>
      <c r="C167">
        <f>IF(A167="","",INDEX(SORT(FILTER(Transactions!A$2:G$1000,(Transactions!C$2:C$1000="Buy")*(Transactions!B$2:B$1000&lt;&gt;"")),2,1),166,4))</f>
        <v/>
      </c>
      <c r="D167">
        <f>IF(A167="","",INDEX(SORT(FILTER(Transactions!A$2:G$1000,(Transactions!C$2:C$1000="Buy")*(Transactions!B$2:B$1000&lt;&gt;"")),2,1),166,5))</f>
        <v/>
      </c>
      <c r="E167">
        <f>IF(C167="","",C167*D167)</f>
        <v/>
      </c>
      <c r="F167">
        <f>IF(A167="","",SUMIFS(C:C,A:A,A167,B:B,"&lt;="&amp;B167))</f>
        <v/>
      </c>
      <c r="G167">
        <f>IF(A167="","",SUMIFS(Transactions!D:D,Transactions!B:B,A167,Transactions!C:C,"Sell"))</f>
        <v/>
      </c>
      <c r="H167">
        <f>IF(A167="","",IF(G167&lt;=0,0,MAX(0,MIN(C167,G167-SUMIFS(H$2:H$166,A$2:A$166,A167)))))</f>
        <v/>
      </c>
      <c r="I167">
        <f>IF(C167="","",MAX(0,C167-H167))</f>
        <v/>
      </c>
      <c r="J167">
        <f>IF(I167="","",I167*D167)</f>
        <v/>
      </c>
    </row>
    <row r="168">
      <c r="A168">
        <f>IFERROR(INDEX(SORT(FILTER(Transactions!B$2:B$1000,(Transactions!C$2:C$1000="Buy")*(Transactions!B$2:B$1000&lt;&gt;"")),1,1),167),"")</f>
        <v/>
      </c>
      <c r="B168">
        <f>IF(A168="","",INDEX(SORT(FILTER(Transactions!A$2:G$1000,(Transactions!C$2:C$1000="Buy")*(Transactions!B$2:B$1000&lt;&gt;"")),2,1),167,1))</f>
        <v/>
      </c>
      <c r="C168">
        <f>IF(A168="","",INDEX(SORT(FILTER(Transactions!A$2:G$1000,(Transactions!C$2:C$1000="Buy")*(Transactions!B$2:B$1000&lt;&gt;"")),2,1),167,4))</f>
        <v/>
      </c>
      <c r="D168">
        <f>IF(A168="","",INDEX(SORT(FILTER(Transactions!A$2:G$1000,(Transactions!C$2:C$1000="Buy")*(Transactions!B$2:B$1000&lt;&gt;"")),2,1),167,5))</f>
        <v/>
      </c>
      <c r="E168">
        <f>IF(C168="","",C168*D168)</f>
        <v/>
      </c>
      <c r="F168">
        <f>IF(A168="","",SUMIFS(C:C,A:A,A168,B:B,"&lt;="&amp;B168))</f>
        <v/>
      </c>
      <c r="G168">
        <f>IF(A168="","",SUMIFS(Transactions!D:D,Transactions!B:B,A168,Transactions!C:C,"Sell"))</f>
        <v/>
      </c>
      <c r="H168">
        <f>IF(A168="","",IF(G168&lt;=0,0,MAX(0,MIN(C168,G168-SUMIFS(H$2:H$167,A$2:A$167,A168)))))</f>
        <v/>
      </c>
      <c r="I168">
        <f>IF(C168="","",MAX(0,C168-H168))</f>
        <v/>
      </c>
      <c r="J168">
        <f>IF(I168="","",I168*D168)</f>
        <v/>
      </c>
    </row>
    <row r="169">
      <c r="A169">
        <f>IFERROR(INDEX(SORT(FILTER(Transactions!B$2:B$1000,(Transactions!C$2:C$1000="Buy")*(Transactions!B$2:B$1000&lt;&gt;"")),1,1),168),"")</f>
        <v/>
      </c>
      <c r="B169">
        <f>IF(A169="","",INDEX(SORT(FILTER(Transactions!A$2:G$1000,(Transactions!C$2:C$1000="Buy")*(Transactions!B$2:B$1000&lt;&gt;"")),2,1),168,1))</f>
        <v/>
      </c>
      <c r="C169">
        <f>IF(A169="","",INDEX(SORT(FILTER(Transactions!A$2:G$1000,(Transactions!C$2:C$1000="Buy")*(Transactions!B$2:B$1000&lt;&gt;"")),2,1),168,4))</f>
        <v/>
      </c>
      <c r="D169">
        <f>IF(A169="","",INDEX(SORT(FILTER(Transactions!A$2:G$1000,(Transactions!C$2:C$1000="Buy")*(Transactions!B$2:B$1000&lt;&gt;"")),2,1),168,5))</f>
        <v/>
      </c>
      <c r="E169">
        <f>IF(C169="","",C169*D169)</f>
        <v/>
      </c>
      <c r="F169">
        <f>IF(A169="","",SUMIFS(C:C,A:A,A169,B:B,"&lt;="&amp;B169))</f>
        <v/>
      </c>
      <c r="G169">
        <f>IF(A169="","",SUMIFS(Transactions!D:D,Transactions!B:B,A169,Transactions!C:C,"Sell"))</f>
        <v/>
      </c>
      <c r="H169">
        <f>IF(A169="","",IF(G169&lt;=0,0,MAX(0,MIN(C169,G169-SUMIFS(H$2:H$168,A$2:A$168,A169)))))</f>
        <v/>
      </c>
      <c r="I169">
        <f>IF(C169="","",MAX(0,C169-H169))</f>
        <v/>
      </c>
      <c r="J169">
        <f>IF(I169="","",I169*D169)</f>
        <v/>
      </c>
    </row>
    <row r="170">
      <c r="A170">
        <f>IFERROR(INDEX(SORT(FILTER(Transactions!B$2:B$1000,(Transactions!C$2:C$1000="Buy")*(Transactions!B$2:B$1000&lt;&gt;"")),1,1),169),"")</f>
        <v/>
      </c>
      <c r="B170">
        <f>IF(A170="","",INDEX(SORT(FILTER(Transactions!A$2:G$1000,(Transactions!C$2:C$1000="Buy")*(Transactions!B$2:B$1000&lt;&gt;"")),2,1),169,1))</f>
        <v/>
      </c>
      <c r="C170">
        <f>IF(A170="","",INDEX(SORT(FILTER(Transactions!A$2:G$1000,(Transactions!C$2:C$1000="Buy")*(Transactions!B$2:B$1000&lt;&gt;"")),2,1),169,4))</f>
        <v/>
      </c>
      <c r="D170">
        <f>IF(A170="","",INDEX(SORT(FILTER(Transactions!A$2:G$1000,(Transactions!C$2:C$1000="Buy")*(Transactions!B$2:B$1000&lt;&gt;"")),2,1),169,5))</f>
        <v/>
      </c>
      <c r="E170">
        <f>IF(C170="","",C170*D170)</f>
        <v/>
      </c>
      <c r="F170">
        <f>IF(A170="","",SUMIFS(C:C,A:A,A170,B:B,"&lt;="&amp;B170))</f>
        <v/>
      </c>
      <c r="G170">
        <f>IF(A170="","",SUMIFS(Transactions!D:D,Transactions!B:B,A170,Transactions!C:C,"Sell"))</f>
        <v/>
      </c>
      <c r="H170">
        <f>IF(A170="","",IF(G170&lt;=0,0,MAX(0,MIN(C170,G170-SUMIFS(H$2:H$169,A$2:A$169,A170)))))</f>
        <v/>
      </c>
      <c r="I170">
        <f>IF(C170="","",MAX(0,C170-H170))</f>
        <v/>
      </c>
      <c r="J170">
        <f>IF(I170="","",I170*D170)</f>
        <v/>
      </c>
    </row>
    <row r="171">
      <c r="A171">
        <f>IFERROR(INDEX(SORT(FILTER(Transactions!B$2:B$1000,(Transactions!C$2:C$1000="Buy")*(Transactions!B$2:B$1000&lt;&gt;"")),1,1),170),"")</f>
        <v/>
      </c>
      <c r="B171">
        <f>IF(A171="","",INDEX(SORT(FILTER(Transactions!A$2:G$1000,(Transactions!C$2:C$1000="Buy")*(Transactions!B$2:B$1000&lt;&gt;"")),2,1),170,1))</f>
        <v/>
      </c>
      <c r="C171">
        <f>IF(A171="","",INDEX(SORT(FILTER(Transactions!A$2:G$1000,(Transactions!C$2:C$1000="Buy")*(Transactions!B$2:B$1000&lt;&gt;"")),2,1),170,4))</f>
        <v/>
      </c>
      <c r="D171">
        <f>IF(A171="","",INDEX(SORT(FILTER(Transactions!A$2:G$1000,(Transactions!C$2:C$1000="Buy")*(Transactions!B$2:B$1000&lt;&gt;"")),2,1),170,5))</f>
        <v/>
      </c>
      <c r="E171">
        <f>IF(C171="","",C171*D171)</f>
        <v/>
      </c>
      <c r="F171">
        <f>IF(A171="","",SUMIFS(C:C,A:A,A171,B:B,"&lt;="&amp;B171))</f>
        <v/>
      </c>
      <c r="G171">
        <f>IF(A171="","",SUMIFS(Transactions!D:D,Transactions!B:B,A171,Transactions!C:C,"Sell"))</f>
        <v/>
      </c>
      <c r="H171">
        <f>IF(A171="","",IF(G171&lt;=0,0,MAX(0,MIN(C171,G171-SUMIFS(H$2:H$170,A$2:A$170,A171)))))</f>
        <v/>
      </c>
      <c r="I171">
        <f>IF(C171="","",MAX(0,C171-H171))</f>
        <v/>
      </c>
      <c r="J171">
        <f>IF(I171="","",I171*D171)</f>
        <v/>
      </c>
    </row>
    <row r="172">
      <c r="A172">
        <f>IFERROR(INDEX(SORT(FILTER(Transactions!B$2:B$1000,(Transactions!C$2:C$1000="Buy")*(Transactions!B$2:B$1000&lt;&gt;"")),1,1),171),"")</f>
        <v/>
      </c>
      <c r="B172">
        <f>IF(A172="","",INDEX(SORT(FILTER(Transactions!A$2:G$1000,(Transactions!C$2:C$1000="Buy")*(Transactions!B$2:B$1000&lt;&gt;"")),2,1),171,1))</f>
        <v/>
      </c>
      <c r="C172">
        <f>IF(A172="","",INDEX(SORT(FILTER(Transactions!A$2:G$1000,(Transactions!C$2:C$1000="Buy")*(Transactions!B$2:B$1000&lt;&gt;"")),2,1),171,4))</f>
        <v/>
      </c>
      <c r="D172">
        <f>IF(A172="","",INDEX(SORT(FILTER(Transactions!A$2:G$1000,(Transactions!C$2:C$1000="Buy")*(Transactions!B$2:B$1000&lt;&gt;"")),2,1),171,5))</f>
        <v/>
      </c>
      <c r="E172">
        <f>IF(C172="","",C172*D172)</f>
        <v/>
      </c>
      <c r="F172">
        <f>IF(A172="","",SUMIFS(C:C,A:A,A172,B:B,"&lt;="&amp;B172))</f>
        <v/>
      </c>
      <c r="G172">
        <f>IF(A172="","",SUMIFS(Transactions!D:D,Transactions!B:B,A172,Transactions!C:C,"Sell"))</f>
        <v/>
      </c>
      <c r="H172">
        <f>IF(A172="","",IF(G172&lt;=0,0,MAX(0,MIN(C172,G172-SUMIFS(H$2:H$171,A$2:A$171,A172)))))</f>
        <v/>
      </c>
      <c r="I172">
        <f>IF(C172="","",MAX(0,C172-H172))</f>
        <v/>
      </c>
      <c r="J172">
        <f>IF(I172="","",I172*D172)</f>
        <v/>
      </c>
    </row>
    <row r="173">
      <c r="A173">
        <f>IFERROR(INDEX(SORT(FILTER(Transactions!B$2:B$1000,(Transactions!C$2:C$1000="Buy")*(Transactions!B$2:B$1000&lt;&gt;"")),1,1),172),"")</f>
        <v/>
      </c>
      <c r="B173">
        <f>IF(A173="","",INDEX(SORT(FILTER(Transactions!A$2:G$1000,(Transactions!C$2:C$1000="Buy")*(Transactions!B$2:B$1000&lt;&gt;"")),2,1),172,1))</f>
        <v/>
      </c>
      <c r="C173">
        <f>IF(A173="","",INDEX(SORT(FILTER(Transactions!A$2:G$1000,(Transactions!C$2:C$1000="Buy")*(Transactions!B$2:B$1000&lt;&gt;"")),2,1),172,4))</f>
        <v/>
      </c>
      <c r="D173">
        <f>IF(A173="","",INDEX(SORT(FILTER(Transactions!A$2:G$1000,(Transactions!C$2:C$1000="Buy")*(Transactions!B$2:B$1000&lt;&gt;"")),2,1),172,5))</f>
        <v/>
      </c>
      <c r="E173">
        <f>IF(C173="","",C173*D173)</f>
        <v/>
      </c>
      <c r="F173">
        <f>IF(A173="","",SUMIFS(C:C,A:A,A173,B:B,"&lt;="&amp;B173))</f>
        <v/>
      </c>
      <c r="G173">
        <f>IF(A173="","",SUMIFS(Transactions!D:D,Transactions!B:B,A173,Transactions!C:C,"Sell"))</f>
        <v/>
      </c>
      <c r="H173">
        <f>IF(A173="","",IF(G173&lt;=0,0,MAX(0,MIN(C173,G173-SUMIFS(H$2:H$172,A$2:A$172,A173)))))</f>
        <v/>
      </c>
      <c r="I173">
        <f>IF(C173="","",MAX(0,C173-H173))</f>
        <v/>
      </c>
      <c r="J173">
        <f>IF(I173="","",I173*D173)</f>
        <v/>
      </c>
    </row>
    <row r="174">
      <c r="A174">
        <f>IFERROR(INDEX(SORT(FILTER(Transactions!B$2:B$1000,(Transactions!C$2:C$1000="Buy")*(Transactions!B$2:B$1000&lt;&gt;"")),1,1),173),"")</f>
        <v/>
      </c>
      <c r="B174">
        <f>IF(A174="","",INDEX(SORT(FILTER(Transactions!A$2:G$1000,(Transactions!C$2:C$1000="Buy")*(Transactions!B$2:B$1000&lt;&gt;"")),2,1),173,1))</f>
        <v/>
      </c>
      <c r="C174">
        <f>IF(A174="","",INDEX(SORT(FILTER(Transactions!A$2:G$1000,(Transactions!C$2:C$1000="Buy")*(Transactions!B$2:B$1000&lt;&gt;"")),2,1),173,4))</f>
        <v/>
      </c>
      <c r="D174">
        <f>IF(A174="","",INDEX(SORT(FILTER(Transactions!A$2:G$1000,(Transactions!C$2:C$1000="Buy")*(Transactions!B$2:B$1000&lt;&gt;"")),2,1),173,5))</f>
        <v/>
      </c>
      <c r="E174">
        <f>IF(C174="","",C174*D174)</f>
        <v/>
      </c>
      <c r="F174">
        <f>IF(A174="","",SUMIFS(C:C,A:A,A174,B:B,"&lt;="&amp;B174))</f>
        <v/>
      </c>
      <c r="G174">
        <f>IF(A174="","",SUMIFS(Transactions!D:D,Transactions!B:B,A174,Transactions!C:C,"Sell"))</f>
        <v/>
      </c>
      <c r="H174">
        <f>IF(A174="","",IF(G174&lt;=0,0,MAX(0,MIN(C174,G174-SUMIFS(H$2:H$173,A$2:A$173,A174)))))</f>
        <v/>
      </c>
      <c r="I174">
        <f>IF(C174="","",MAX(0,C174-H174))</f>
        <v/>
      </c>
      <c r="J174">
        <f>IF(I174="","",I174*D174)</f>
        <v/>
      </c>
    </row>
    <row r="175">
      <c r="A175">
        <f>IFERROR(INDEX(SORT(FILTER(Transactions!B$2:B$1000,(Transactions!C$2:C$1000="Buy")*(Transactions!B$2:B$1000&lt;&gt;"")),1,1),174),"")</f>
        <v/>
      </c>
      <c r="B175">
        <f>IF(A175="","",INDEX(SORT(FILTER(Transactions!A$2:G$1000,(Transactions!C$2:C$1000="Buy")*(Transactions!B$2:B$1000&lt;&gt;"")),2,1),174,1))</f>
        <v/>
      </c>
      <c r="C175">
        <f>IF(A175="","",INDEX(SORT(FILTER(Transactions!A$2:G$1000,(Transactions!C$2:C$1000="Buy")*(Transactions!B$2:B$1000&lt;&gt;"")),2,1),174,4))</f>
        <v/>
      </c>
      <c r="D175">
        <f>IF(A175="","",INDEX(SORT(FILTER(Transactions!A$2:G$1000,(Transactions!C$2:C$1000="Buy")*(Transactions!B$2:B$1000&lt;&gt;"")),2,1),174,5))</f>
        <v/>
      </c>
      <c r="E175">
        <f>IF(C175="","",C175*D175)</f>
        <v/>
      </c>
      <c r="F175">
        <f>IF(A175="","",SUMIFS(C:C,A:A,A175,B:B,"&lt;="&amp;B175))</f>
        <v/>
      </c>
      <c r="G175">
        <f>IF(A175="","",SUMIFS(Transactions!D:D,Transactions!B:B,A175,Transactions!C:C,"Sell"))</f>
        <v/>
      </c>
      <c r="H175">
        <f>IF(A175="","",IF(G175&lt;=0,0,MAX(0,MIN(C175,G175-SUMIFS(H$2:H$174,A$2:A$174,A175)))))</f>
        <v/>
      </c>
      <c r="I175">
        <f>IF(C175="","",MAX(0,C175-H175))</f>
        <v/>
      </c>
      <c r="J175">
        <f>IF(I175="","",I175*D175)</f>
        <v/>
      </c>
    </row>
    <row r="176">
      <c r="A176">
        <f>IFERROR(INDEX(SORT(FILTER(Transactions!B$2:B$1000,(Transactions!C$2:C$1000="Buy")*(Transactions!B$2:B$1000&lt;&gt;"")),1,1),175),"")</f>
        <v/>
      </c>
      <c r="B176">
        <f>IF(A176="","",INDEX(SORT(FILTER(Transactions!A$2:G$1000,(Transactions!C$2:C$1000="Buy")*(Transactions!B$2:B$1000&lt;&gt;"")),2,1),175,1))</f>
        <v/>
      </c>
      <c r="C176">
        <f>IF(A176="","",INDEX(SORT(FILTER(Transactions!A$2:G$1000,(Transactions!C$2:C$1000="Buy")*(Transactions!B$2:B$1000&lt;&gt;"")),2,1),175,4))</f>
        <v/>
      </c>
      <c r="D176">
        <f>IF(A176="","",INDEX(SORT(FILTER(Transactions!A$2:G$1000,(Transactions!C$2:C$1000="Buy")*(Transactions!B$2:B$1000&lt;&gt;"")),2,1),175,5))</f>
        <v/>
      </c>
      <c r="E176">
        <f>IF(C176="","",C176*D176)</f>
        <v/>
      </c>
      <c r="F176">
        <f>IF(A176="","",SUMIFS(C:C,A:A,A176,B:B,"&lt;="&amp;B176))</f>
        <v/>
      </c>
      <c r="G176">
        <f>IF(A176="","",SUMIFS(Transactions!D:D,Transactions!B:B,A176,Transactions!C:C,"Sell"))</f>
        <v/>
      </c>
      <c r="H176">
        <f>IF(A176="","",IF(G176&lt;=0,0,MAX(0,MIN(C176,G176-SUMIFS(H$2:H$175,A$2:A$175,A176)))))</f>
        <v/>
      </c>
      <c r="I176">
        <f>IF(C176="","",MAX(0,C176-H176))</f>
        <v/>
      </c>
      <c r="J176">
        <f>IF(I176="","",I176*D176)</f>
        <v/>
      </c>
    </row>
    <row r="177">
      <c r="A177">
        <f>IFERROR(INDEX(SORT(FILTER(Transactions!B$2:B$1000,(Transactions!C$2:C$1000="Buy")*(Transactions!B$2:B$1000&lt;&gt;"")),1,1),176),"")</f>
        <v/>
      </c>
      <c r="B177">
        <f>IF(A177="","",INDEX(SORT(FILTER(Transactions!A$2:G$1000,(Transactions!C$2:C$1000="Buy")*(Transactions!B$2:B$1000&lt;&gt;"")),2,1),176,1))</f>
        <v/>
      </c>
      <c r="C177">
        <f>IF(A177="","",INDEX(SORT(FILTER(Transactions!A$2:G$1000,(Transactions!C$2:C$1000="Buy")*(Transactions!B$2:B$1000&lt;&gt;"")),2,1),176,4))</f>
        <v/>
      </c>
      <c r="D177">
        <f>IF(A177="","",INDEX(SORT(FILTER(Transactions!A$2:G$1000,(Transactions!C$2:C$1000="Buy")*(Transactions!B$2:B$1000&lt;&gt;"")),2,1),176,5))</f>
        <v/>
      </c>
      <c r="E177">
        <f>IF(C177="","",C177*D177)</f>
        <v/>
      </c>
      <c r="F177">
        <f>IF(A177="","",SUMIFS(C:C,A:A,A177,B:B,"&lt;="&amp;B177))</f>
        <v/>
      </c>
      <c r="G177">
        <f>IF(A177="","",SUMIFS(Transactions!D:D,Transactions!B:B,A177,Transactions!C:C,"Sell"))</f>
        <v/>
      </c>
      <c r="H177">
        <f>IF(A177="","",IF(G177&lt;=0,0,MAX(0,MIN(C177,G177-SUMIFS(H$2:H$176,A$2:A$176,A177)))))</f>
        <v/>
      </c>
      <c r="I177">
        <f>IF(C177="","",MAX(0,C177-H177))</f>
        <v/>
      </c>
      <c r="J177">
        <f>IF(I177="","",I177*D177)</f>
        <v/>
      </c>
    </row>
    <row r="178">
      <c r="A178">
        <f>IFERROR(INDEX(SORT(FILTER(Transactions!B$2:B$1000,(Transactions!C$2:C$1000="Buy")*(Transactions!B$2:B$1000&lt;&gt;"")),1,1),177),"")</f>
        <v/>
      </c>
      <c r="B178">
        <f>IF(A178="","",INDEX(SORT(FILTER(Transactions!A$2:G$1000,(Transactions!C$2:C$1000="Buy")*(Transactions!B$2:B$1000&lt;&gt;"")),2,1),177,1))</f>
        <v/>
      </c>
      <c r="C178">
        <f>IF(A178="","",INDEX(SORT(FILTER(Transactions!A$2:G$1000,(Transactions!C$2:C$1000="Buy")*(Transactions!B$2:B$1000&lt;&gt;"")),2,1),177,4))</f>
        <v/>
      </c>
      <c r="D178">
        <f>IF(A178="","",INDEX(SORT(FILTER(Transactions!A$2:G$1000,(Transactions!C$2:C$1000="Buy")*(Transactions!B$2:B$1000&lt;&gt;"")),2,1),177,5))</f>
        <v/>
      </c>
      <c r="E178">
        <f>IF(C178="","",C178*D178)</f>
        <v/>
      </c>
      <c r="F178">
        <f>IF(A178="","",SUMIFS(C:C,A:A,A178,B:B,"&lt;="&amp;B178))</f>
        <v/>
      </c>
      <c r="G178">
        <f>IF(A178="","",SUMIFS(Transactions!D:D,Transactions!B:B,A178,Transactions!C:C,"Sell"))</f>
        <v/>
      </c>
      <c r="H178">
        <f>IF(A178="","",IF(G178&lt;=0,0,MAX(0,MIN(C178,G178-SUMIFS(H$2:H$177,A$2:A$177,A178)))))</f>
        <v/>
      </c>
      <c r="I178">
        <f>IF(C178="","",MAX(0,C178-H178))</f>
        <v/>
      </c>
      <c r="J178">
        <f>IF(I178="","",I178*D178)</f>
        <v/>
      </c>
    </row>
    <row r="179">
      <c r="A179">
        <f>IFERROR(INDEX(SORT(FILTER(Transactions!B$2:B$1000,(Transactions!C$2:C$1000="Buy")*(Transactions!B$2:B$1000&lt;&gt;"")),1,1),178),"")</f>
        <v/>
      </c>
      <c r="B179">
        <f>IF(A179="","",INDEX(SORT(FILTER(Transactions!A$2:G$1000,(Transactions!C$2:C$1000="Buy")*(Transactions!B$2:B$1000&lt;&gt;"")),2,1),178,1))</f>
        <v/>
      </c>
      <c r="C179">
        <f>IF(A179="","",INDEX(SORT(FILTER(Transactions!A$2:G$1000,(Transactions!C$2:C$1000="Buy")*(Transactions!B$2:B$1000&lt;&gt;"")),2,1),178,4))</f>
        <v/>
      </c>
      <c r="D179">
        <f>IF(A179="","",INDEX(SORT(FILTER(Transactions!A$2:G$1000,(Transactions!C$2:C$1000="Buy")*(Transactions!B$2:B$1000&lt;&gt;"")),2,1),178,5))</f>
        <v/>
      </c>
      <c r="E179">
        <f>IF(C179="","",C179*D179)</f>
        <v/>
      </c>
      <c r="F179">
        <f>IF(A179="","",SUMIFS(C:C,A:A,A179,B:B,"&lt;="&amp;B179))</f>
        <v/>
      </c>
      <c r="G179">
        <f>IF(A179="","",SUMIFS(Transactions!D:D,Transactions!B:B,A179,Transactions!C:C,"Sell"))</f>
        <v/>
      </c>
      <c r="H179">
        <f>IF(A179="","",IF(G179&lt;=0,0,MAX(0,MIN(C179,G179-SUMIFS(H$2:H$178,A$2:A$178,A179)))))</f>
        <v/>
      </c>
      <c r="I179">
        <f>IF(C179="","",MAX(0,C179-H179))</f>
        <v/>
      </c>
      <c r="J179">
        <f>IF(I179="","",I179*D179)</f>
        <v/>
      </c>
    </row>
    <row r="180">
      <c r="A180">
        <f>IFERROR(INDEX(SORT(FILTER(Transactions!B$2:B$1000,(Transactions!C$2:C$1000="Buy")*(Transactions!B$2:B$1000&lt;&gt;"")),1,1),179),"")</f>
        <v/>
      </c>
      <c r="B180">
        <f>IF(A180="","",INDEX(SORT(FILTER(Transactions!A$2:G$1000,(Transactions!C$2:C$1000="Buy")*(Transactions!B$2:B$1000&lt;&gt;"")),2,1),179,1))</f>
        <v/>
      </c>
      <c r="C180">
        <f>IF(A180="","",INDEX(SORT(FILTER(Transactions!A$2:G$1000,(Transactions!C$2:C$1000="Buy")*(Transactions!B$2:B$1000&lt;&gt;"")),2,1),179,4))</f>
        <v/>
      </c>
      <c r="D180">
        <f>IF(A180="","",INDEX(SORT(FILTER(Transactions!A$2:G$1000,(Transactions!C$2:C$1000="Buy")*(Transactions!B$2:B$1000&lt;&gt;"")),2,1),179,5))</f>
        <v/>
      </c>
      <c r="E180">
        <f>IF(C180="","",C180*D180)</f>
        <v/>
      </c>
      <c r="F180">
        <f>IF(A180="","",SUMIFS(C:C,A:A,A180,B:B,"&lt;="&amp;B180))</f>
        <v/>
      </c>
      <c r="G180">
        <f>IF(A180="","",SUMIFS(Transactions!D:D,Transactions!B:B,A180,Transactions!C:C,"Sell"))</f>
        <v/>
      </c>
      <c r="H180">
        <f>IF(A180="","",IF(G180&lt;=0,0,MAX(0,MIN(C180,G180-SUMIFS(H$2:H$179,A$2:A$179,A180)))))</f>
        <v/>
      </c>
      <c r="I180">
        <f>IF(C180="","",MAX(0,C180-H180))</f>
        <v/>
      </c>
      <c r="J180">
        <f>IF(I180="","",I180*D180)</f>
        <v/>
      </c>
    </row>
    <row r="181">
      <c r="A181">
        <f>IFERROR(INDEX(SORT(FILTER(Transactions!B$2:B$1000,(Transactions!C$2:C$1000="Buy")*(Transactions!B$2:B$1000&lt;&gt;"")),1,1),180),"")</f>
        <v/>
      </c>
      <c r="B181">
        <f>IF(A181="","",INDEX(SORT(FILTER(Transactions!A$2:G$1000,(Transactions!C$2:C$1000="Buy")*(Transactions!B$2:B$1000&lt;&gt;"")),2,1),180,1))</f>
        <v/>
      </c>
      <c r="C181">
        <f>IF(A181="","",INDEX(SORT(FILTER(Transactions!A$2:G$1000,(Transactions!C$2:C$1000="Buy")*(Transactions!B$2:B$1000&lt;&gt;"")),2,1),180,4))</f>
        <v/>
      </c>
      <c r="D181">
        <f>IF(A181="","",INDEX(SORT(FILTER(Transactions!A$2:G$1000,(Transactions!C$2:C$1000="Buy")*(Transactions!B$2:B$1000&lt;&gt;"")),2,1),180,5))</f>
        <v/>
      </c>
      <c r="E181">
        <f>IF(C181="","",C181*D181)</f>
        <v/>
      </c>
      <c r="F181">
        <f>IF(A181="","",SUMIFS(C:C,A:A,A181,B:B,"&lt;="&amp;B181))</f>
        <v/>
      </c>
      <c r="G181">
        <f>IF(A181="","",SUMIFS(Transactions!D:D,Transactions!B:B,A181,Transactions!C:C,"Sell"))</f>
        <v/>
      </c>
      <c r="H181">
        <f>IF(A181="","",IF(G181&lt;=0,0,MAX(0,MIN(C181,G181-SUMIFS(H$2:H$180,A$2:A$180,A181)))))</f>
        <v/>
      </c>
      <c r="I181">
        <f>IF(C181="","",MAX(0,C181-H181))</f>
        <v/>
      </c>
      <c r="J181">
        <f>IF(I181="","",I181*D181)</f>
        <v/>
      </c>
    </row>
    <row r="182">
      <c r="A182">
        <f>IFERROR(INDEX(SORT(FILTER(Transactions!B$2:B$1000,(Transactions!C$2:C$1000="Buy")*(Transactions!B$2:B$1000&lt;&gt;"")),1,1),181),"")</f>
        <v/>
      </c>
      <c r="B182">
        <f>IF(A182="","",INDEX(SORT(FILTER(Transactions!A$2:G$1000,(Transactions!C$2:C$1000="Buy")*(Transactions!B$2:B$1000&lt;&gt;"")),2,1),181,1))</f>
        <v/>
      </c>
      <c r="C182">
        <f>IF(A182="","",INDEX(SORT(FILTER(Transactions!A$2:G$1000,(Transactions!C$2:C$1000="Buy")*(Transactions!B$2:B$1000&lt;&gt;"")),2,1),181,4))</f>
        <v/>
      </c>
      <c r="D182">
        <f>IF(A182="","",INDEX(SORT(FILTER(Transactions!A$2:G$1000,(Transactions!C$2:C$1000="Buy")*(Transactions!B$2:B$1000&lt;&gt;"")),2,1),181,5))</f>
        <v/>
      </c>
      <c r="E182">
        <f>IF(C182="","",C182*D182)</f>
        <v/>
      </c>
      <c r="F182">
        <f>IF(A182="","",SUMIFS(C:C,A:A,A182,B:B,"&lt;="&amp;B182))</f>
        <v/>
      </c>
      <c r="G182">
        <f>IF(A182="","",SUMIFS(Transactions!D:D,Transactions!B:B,A182,Transactions!C:C,"Sell"))</f>
        <v/>
      </c>
      <c r="H182">
        <f>IF(A182="","",IF(G182&lt;=0,0,MAX(0,MIN(C182,G182-SUMIFS(H$2:H$181,A$2:A$181,A182)))))</f>
        <v/>
      </c>
      <c r="I182">
        <f>IF(C182="","",MAX(0,C182-H182))</f>
        <v/>
      </c>
      <c r="J182">
        <f>IF(I182="","",I182*D182)</f>
        <v/>
      </c>
    </row>
    <row r="183">
      <c r="A183">
        <f>IFERROR(INDEX(SORT(FILTER(Transactions!B$2:B$1000,(Transactions!C$2:C$1000="Buy")*(Transactions!B$2:B$1000&lt;&gt;"")),1,1),182),"")</f>
        <v/>
      </c>
      <c r="B183">
        <f>IF(A183="","",INDEX(SORT(FILTER(Transactions!A$2:G$1000,(Transactions!C$2:C$1000="Buy")*(Transactions!B$2:B$1000&lt;&gt;"")),2,1),182,1))</f>
        <v/>
      </c>
      <c r="C183">
        <f>IF(A183="","",INDEX(SORT(FILTER(Transactions!A$2:G$1000,(Transactions!C$2:C$1000="Buy")*(Transactions!B$2:B$1000&lt;&gt;"")),2,1),182,4))</f>
        <v/>
      </c>
      <c r="D183">
        <f>IF(A183="","",INDEX(SORT(FILTER(Transactions!A$2:G$1000,(Transactions!C$2:C$1000="Buy")*(Transactions!B$2:B$1000&lt;&gt;"")),2,1),182,5))</f>
        <v/>
      </c>
      <c r="E183">
        <f>IF(C183="","",C183*D183)</f>
        <v/>
      </c>
      <c r="F183">
        <f>IF(A183="","",SUMIFS(C:C,A:A,A183,B:B,"&lt;="&amp;B183))</f>
        <v/>
      </c>
      <c r="G183">
        <f>IF(A183="","",SUMIFS(Transactions!D:D,Transactions!B:B,A183,Transactions!C:C,"Sell"))</f>
        <v/>
      </c>
      <c r="H183">
        <f>IF(A183="","",IF(G183&lt;=0,0,MAX(0,MIN(C183,G183-SUMIFS(H$2:H$182,A$2:A$182,A183)))))</f>
        <v/>
      </c>
      <c r="I183">
        <f>IF(C183="","",MAX(0,C183-H183))</f>
        <v/>
      </c>
      <c r="J183">
        <f>IF(I183="","",I183*D183)</f>
        <v/>
      </c>
    </row>
    <row r="184">
      <c r="A184">
        <f>IFERROR(INDEX(SORT(FILTER(Transactions!B$2:B$1000,(Transactions!C$2:C$1000="Buy")*(Transactions!B$2:B$1000&lt;&gt;"")),1,1),183),"")</f>
        <v/>
      </c>
      <c r="B184">
        <f>IF(A184="","",INDEX(SORT(FILTER(Transactions!A$2:G$1000,(Transactions!C$2:C$1000="Buy")*(Transactions!B$2:B$1000&lt;&gt;"")),2,1),183,1))</f>
        <v/>
      </c>
      <c r="C184">
        <f>IF(A184="","",INDEX(SORT(FILTER(Transactions!A$2:G$1000,(Transactions!C$2:C$1000="Buy")*(Transactions!B$2:B$1000&lt;&gt;"")),2,1),183,4))</f>
        <v/>
      </c>
      <c r="D184">
        <f>IF(A184="","",INDEX(SORT(FILTER(Transactions!A$2:G$1000,(Transactions!C$2:C$1000="Buy")*(Transactions!B$2:B$1000&lt;&gt;"")),2,1),183,5))</f>
        <v/>
      </c>
      <c r="E184">
        <f>IF(C184="","",C184*D184)</f>
        <v/>
      </c>
      <c r="F184">
        <f>IF(A184="","",SUMIFS(C:C,A:A,A184,B:B,"&lt;="&amp;B184))</f>
        <v/>
      </c>
      <c r="G184">
        <f>IF(A184="","",SUMIFS(Transactions!D:D,Transactions!B:B,A184,Transactions!C:C,"Sell"))</f>
        <v/>
      </c>
      <c r="H184">
        <f>IF(A184="","",IF(G184&lt;=0,0,MAX(0,MIN(C184,G184-SUMIFS(H$2:H$183,A$2:A$183,A184)))))</f>
        <v/>
      </c>
      <c r="I184">
        <f>IF(C184="","",MAX(0,C184-H184))</f>
        <v/>
      </c>
      <c r="J184">
        <f>IF(I184="","",I184*D184)</f>
        <v/>
      </c>
    </row>
    <row r="185">
      <c r="A185">
        <f>IFERROR(INDEX(SORT(FILTER(Transactions!B$2:B$1000,(Transactions!C$2:C$1000="Buy")*(Transactions!B$2:B$1000&lt;&gt;"")),1,1),184),"")</f>
        <v/>
      </c>
      <c r="B185">
        <f>IF(A185="","",INDEX(SORT(FILTER(Transactions!A$2:G$1000,(Transactions!C$2:C$1000="Buy")*(Transactions!B$2:B$1000&lt;&gt;"")),2,1),184,1))</f>
        <v/>
      </c>
      <c r="C185">
        <f>IF(A185="","",INDEX(SORT(FILTER(Transactions!A$2:G$1000,(Transactions!C$2:C$1000="Buy")*(Transactions!B$2:B$1000&lt;&gt;"")),2,1),184,4))</f>
        <v/>
      </c>
      <c r="D185">
        <f>IF(A185="","",INDEX(SORT(FILTER(Transactions!A$2:G$1000,(Transactions!C$2:C$1000="Buy")*(Transactions!B$2:B$1000&lt;&gt;"")),2,1),184,5))</f>
        <v/>
      </c>
      <c r="E185">
        <f>IF(C185="","",C185*D185)</f>
        <v/>
      </c>
      <c r="F185">
        <f>IF(A185="","",SUMIFS(C:C,A:A,A185,B:B,"&lt;="&amp;B185))</f>
        <v/>
      </c>
      <c r="G185">
        <f>IF(A185="","",SUMIFS(Transactions!D:D,Transactions!B:B,A185,Transactions!C:C,"Sell"))</f>
        <v/>
      </c>
      <c r="H185">
        <f>IF(A185="","",IF(G185&lt;=0,0,MAX(0,MIN(C185,G185-SUMIFS(H$2:H$184,A$2:A$184,A185)))))</f>
        <v/>
      </c>
      <c r="I185">
        <f>IF(C185="","",MAX(0,C185-H185))</f>
        <v/>
      </c>
      <c r="J185">
        <f>IF(I185="","",I185*D185)</f>
        <v/>
      </c>
    </row>
    <row r="186">
      <c r="A186">
        <f>IFERROR(INDEX(SORT(FILTER(Transactions!B$2:B$1000,(Transactions!C$2:C$1000="Buy")*(Transactions!B$2:B$1000&lt;&gt;"")),1,1),185),"")</f>
        <v/>
      </c>
      <c r="B186">
        <f>IF(A186="","",INDEX(SORT(FILTER(Transactions!A$2:G$1000,(Transactions!C$2:C$1000="Buy")*(Transactions!B$2:B$1000&lt;&gt;"")),2,1),185,1))</f>
        <v/>
      </c>
      <c r="C186">
        <f>IF(A186="","",INDEX(SORT(FILTER(Transactions!A$2:G$1000,(Transactions!C$2:C$1000="Buy")*(Transactions!B$2:B$1000&lt;&gt;"")),2,1),185,4))</f>
        <v/>
      </c>
      <c r="D186">
        <f>IF(A186="","",INDEX(SORT(FILTER(Transactions!A$2:G$1000,(Transactions!C$2:C$1000="Buy")*(Transactions!B$2:B$1000&lt;&gt;"")),2,1),185,5))</f>
        <v/>
      </c>
      <c r="E186">
        <f>IF(C186="","",C186*D186)</f>
        <v/>
      </c>
      <c r="F186">
        <f>IF(A186="","",SUMIFS(C:C,A:A,A186,B:B,"&lt;="&amp;B186))</f>
        <v/>
      </c>
      <c r="G186">
        <f>IF(A186="","",SUMIFS(Transactions!D:D,Transactions!B:B,A186,Transactions!C:C,"Sell"))</f>
        <v/>
      </c>
      <c r="H186">
        <f>IF(A186="","",IF(G186&lt;=0,0,MAX(0,MIN(C186,G186-SUMIFS(H$2:H$185,A$2:A$185,A186)))))</f>
        <v/>
      </c>
      <c r="I186">
        <f>IF(C186="","",MAX(0,C186-H186))</f>
        <v/>
      </c>
      <c r="J186">
        <f>IF(I186="","",I186*D186)</f>
        <v/>
      </c>
    </row>
    <row r="187">
      <c r="A187">
        <f>IFERROR(INDEX(SORT(FILTER(Transactions!B$2:B$1000,(Transactions!C$2:C$1000="Buy")*(Transactions!B$2:B$1000&lt;&gt;"")),1,1),186),"")</f>
        <v/>
      </c>
      <c r="B187">
        <f>IF(A187="","",INDEX(SORT(FILTER(Transactions!A$2:G$1000,(Transactions!C$2:C$1000="Buy")*(Transactions!B$2:B$1000&lt;&gt;"")),2,1),186,1))</f>
        <v/>
      </c>
      <c r="C187">
        <f>IF(A187="","",INDEX(SORT(FILTER(Transactions!A$2:G$1000,(Transactions!C$2:C$1000="Buy")*(Transactions!B$2:B$1000&lt;&gt;"")),2,1),186,4))</f>
        <v/>
      </c>
      <c r="D187">
        <f>IF(A187="","",INDEX(SORT(FILTER(Transactions!A$2:G$1000,(Transactions!C$2:C$1000="Buy")*(Transactions!B$2:B$1000&lt;&gt;"")),2,1),186,5))</f>
        <v/>
      </c>
      <c r="E187">
        <f>IF(C187="","",C187*D187)</f>
        <v/>
      </c>
      <c r="F187">
        <f>IF(A187="","",SUMIFS(C:C,A:A,A187,B:B,"&lt;="&amp;B187))</f>
        <v/>
      </c>
      <c r="G187">
        <f>IF(A187="","",SUMIFS(Transactions!D:D,Transactions!B:B,A187,Transactions!C:C,"Sell"))</f>
        <v/>
      </c>
      <c r="H187">
        <f>IF(A187="","",IF(G187&lt;=0,0,MAX(0,MIN(C187,G187-SUMIFS(H$2:H$186,A$2:A$186,A187)))))</f>
        <v/>
      </c>
      <c r="I187">
        <f>IF(C187="","",MAX(0,C187-H187))</f>
        <v/>
      </c>
      <c r="J187">
        <f>IF(I187="","",I187*D187)</f>
        <v/>
      </c>
    </row>
    <row r="188">
      <c r="A188">
        <f>IFERROR(INDEX(SORT(FILTER(Transactions!B$2:B$1000,(Transactions!C$2:C$1000="Buy")*(Transactions!B$2:B$1000&lt;&gt;"")),1,1),187),"")</f>
        <v/>
      </c>
      <c r="B188">
        <f>IF(A188="","",INDEX(SORT(FILTER(Transactions!A$2:G$1000,(Transactions!C$2:C$1000="Buy")*(Transactions!B$2:B$1000&lt;&gt;"")),2,1),187,1))</f>
        <v/>
      </c>
      <c r="C188">
        <f>IF(A188="","",INDEX(SORT(FILTER(Transactions!A$2:G$1000,(Transactions!C$2:C$1000="Buy")*(Transactions!B$2:B$1000&lt;&gt;"")),2,1),187,4))</f>
        <v/>
      </c>
      <c r="D188">
        <f>IF(A188="","",INDEX(SORT(FILTER(Transactions!A$2:G$1000,(Transactions!C$2:C$1000="Buy")*(Transactions!B$2:B$1000&lt;&gt;"")),2,1),187,5))</f>
        <v/>
      </c>
      <c r="E188">
        <f>IF(C188="","",C188*D188)</f>
        <v/>
      </c>
      <c r="F188">
        <f>IF(A188="","",SUMIFS(C:C,A:A,A188,B:B,"&lt;="&amp;B188))</f>
        <v/>
      </c>
      <c r="G188">
        <f>IF(A188="","",SUMIFS(Transactions!D:D,Transactions!B:B,A188,Transactions!C:C,"Sell"))</f>
        <v/>
      </c>
      <c r="H188">
        <f>IF(A188="","",IF(G188&lt;=0,0,MAX(0,MIN(C188,G188-SUMIFS(H$2:H$187,A$2:A$187,A188)))))</f>
        <v/>
      </c>
      <c r="I188">
        <f>IF(C188="","",MAX(0,C188-H188))</f>
        <v/>
      </c>
      <c r="J188">
        <f>IF(I188="","",I188*D188)</f>
        <v/>
      </c>
    </row>
    <row r="189">
      <c r="A189">
        <f>IFERROR(INDEX(SORT(FILTER(Transactions!B$2:B$1000,(Transactions!C$2:C$1000="Buy")*(Transactions!B$2:B$1000&lt;&gt;"")),1,1),188),"")</f>
        <v/>
      </c>
      <c r="B189">
        <f>IF(A189="","",INDEX(SORT(FILTER(Transactions!A$2:G$1000,(Transactions!C$2:C$1000="Buy")*(Transactions!B$2:B$1000&lt;&gt;"")),2,1),188,1))</f>
        <v/>
      </c>
      <c r="C189">
        <f>IF(A189="","",INDEX(SORT(FILTER(Transactions!A$2:G$1000,(Transactions!C$2:C$1000="Buy")*(Transactions!B$2:B$1000&lt;&gt;"")),2,1),188,4))</f>
        <v/>
      </c>
      <c r="D189">
        <f>IF(A189="","",INDEX(SORT(FILTER(Transactions!A$2:G$1000,(Transactions!C$2:C$1000="Buy")*(Transactions!B$2:B$1000&lt;&gt;"")),2,1),188,5))</f>
        <v/>
      </c>
      <c r="E189">
        <f>IF(C189="","",C189*D189)</f>
        <v/>
      </c>
      <c r="F189">
        <f>IF(A189="","",SUMIFS(C:C,A:A,A189,B:B,"&lt;="&amp;B189))</f>
        <v/>
      </c>
      <c r="G189">
        <f>IF(A189="","",SUMIFS(Transactions!D:D,Transactions!B:B,A189,Transactions!C:C,"Sell"))</f>
        <v/>
      </c>
      <c r="H189">
        <f>IF(A189="","",IF(G189&lt;=0,0,MAX(0,MIN(C189,G189-SUMIFS(H$2:H$188,A$2:A$188,A189)))))</f>
        <v/>
      </c>
      <c r="I189">
        <f>IF(C189="","",MAX(0,C189-H189))</f>
        <v/>
      </c>
      <c r="J189">
        <f>IF(I189="","",I189*D189)</f>
        <v/>
      </c>
    </row>
    <row r="190">
      <c r="A190">
        <f>IFERROR(INDEX(SORT(FILTER(Transactions!B$2:B$1000,(Transactions!C$2:C$1000="Buy")*(Transactions!B$2:B$1000&lt;&gt;"")),1,1),189),"")</f>
        <v/>
      </c>
      <c r="B190">
        <f>IF(A190="","",INDEX(SORT(FILTER(Transactions!A$2:G$1000,(Transactions!C$2:C$1000="Buy")*(Transactions!B$2:B$1000&lt;&gt;"")),2,1),189,1))</f>
        <v/>
      </c>
      <c r="C190">
        <f>IF(A190="","",INDEX(SORT(FILTER(Transactions!A$2:G$1000,(Transactions!C$2:C$1000="Buy")*(Transactions!B$2:B$1000&lt;&gt;"")),2,1),189,4))</f>
        <v/>
      </c>
      <c r="D190">
        <f>IF(A190="","",INDEX(SORT(FILTER(Transactions!A$2:G$1000,(Transactions!C$2:C$1000="Buy")*(Transactions!B$2:B$1000&lt;&gt;"")),2,1),189,5))</f>
        <v/>
      </c>
      <c r="E190">
        <f>IF(C190="","",C190*D190)</f>
        <v/>
      </c>
      <c r="F190">
        <f>IF(A190="","",SUMIFS(C:C,A:A,A190,B:B,"&lt;="&amp;B190))</f>
        <v/>
      </c>
      <c r="G190">
        <f>IF(A190="","",SUMIFS(Transactions!D:D,Transactions!B:B,A190,Transactions!C:C,"Sell"))</f>
        <v/>
      </c>
      <c r="H190">
        <f>IF(A190="","",IF(G190&lt;=0,0,MAX(0,MIN(C190,G190-SUMIFS(H$2:H$189,A$2:A$189,A190)))))</f>
        <v/>
      </c>
      <c r="I190">
        <f>IF(C190="","",MAX(0,C190-H190))</f>
        <v/>
      </c>
      <c r="J190">
        <f>IF(I190="","",I190*D190)</f>
        <v/>
      </c>
    </row>
    <row r="191">
      <c r="A191">
        <f>IFERROR(INDEX(SORT(FILTER(Transactions!B$2:B$1000,(Transactions!C$2:C$1000="Buy")*(Transactions!B$2:B$1000&lt;&gt;"")),1,1),190),"")</f>
        <v/>
      </c>
      <c r="B191">
        <f>IF(A191="","",INDEX(SORT(FILTER(Transactions!A$2:G$1000,(Transactions!C$2:C$1000="Buy")*(Transactions!B$2:B$1000&lt;&gt;"")),2,1),190,1))</f>
        <v/>
      </c>
      <c r="C191">
        <f>IF(A191="","",INDEX(SORT(FILTER(Transactions!A$2:G$1000,(Transactions!C$2:C$1000="Buy")*(Transactions!B$2:B$1000&lt;&gt;"")),2,1),190,4))</f>
        <v/>
      </c>
      <c r="D191">
        <f>IF(A191="","",INDEX(SORT(FILTER(Transactions!A$2:G$1000,(Transactions!C$2:C$1000="Buy")*(Transactions!B$2:B$1000&lt;&gt;"")),2,1),190,5))</f>
        <v/>
      </c>
      <c r="E191">
        <f>IF(C191="","",C191*D191)</f>
        <v/>
      </c>
      <c r="F191">
        <f>IF(A191="","",SUMIFS(C:C,A:A,A191,B:B,"&lt;="&amp;B191))</f>
        <v/>
      </c>
      <c r="G191">
        <f>IF(A191="","",SUMIFS(Transactions!D:D,Transactions!B:B,A191,Transactions!C:C,"Sell"))</f>
        <v/>
      </c>
      <c r="H191">
        <f>IF(A191="","",IF(G191&lt;=0,0,MAX(0,MIN(C191,G191-SUMIFS(H$2:H$190,A$2:A$190,A191)))))</f>
        <v/>
      </c>
      <c r="I191">
        <f>IF(C191="","",MAX(0,C191-H191))</f>
        <v/>
      </c>
      <c r="J191">
        <f>IF(I191="","",I191*D191)</f>
        <v/>
      </c>
    </row>
    <row r="192">
      <c r="A192">
        <f>IFERROR(INDEX(SORT(FILTER(Transactions!B$2:B$1000,(Transactions!C$2:C$1000="Buy")*(Transactions!B$2:B$1000&lt;&gt;"")),1,1),191),"")</f>
        <v/>
      </c>
      <c r="B192">
        <f>IF(A192="","",INDEX(SORT(FILTER(Transactions!A$2:G$1000,(Transactions!C$2:C$1000="Buy")*(Transactions!B$2:B$1000&lt;&gt;"")),2,1),191,1))</f>
        <v/>
      </c>
      <c r="C192">
        <f>IF(A192="","",INDEX(SORT(FILTER(Transactions!A$2:G$1000,(Transactions!C$2:C$1000="Buy")*(Transactions!B$2:B$1000&lt;&gt;"")),2,1),191,4))</f>
        <v/>
      </c>
      <c r="D192">
        <f>IF(A192="","",INDEX(SORT(FILTER(Transactions!A$2:G$1000,(Transactions!C$2:C$1000="Buy")*(Transactions!B$2:B$1000&lt;&gt;"")),2,1),191,5))</f>
        <v/>
      </c>
      <c r="E192">
        <f>IF(C192="","",C192*D192)</f>
        <v/>
      </c>
      <c r="F192">
        <f>IF(A192="","",SUMIFS(C:C,A:A,A192,B:B,"&lt;="&amp;B192))</f>
        <v/>
      </c>
      <c r="G192">
        <f>IF(A192="","",SUMIFS(Transactions!D:D,Transactions!B:B,A192,Transactions!C:C,"Sell"))</f>
        <v/>
      </c>
      <c r="H192">
        <f>IF(A192="","",IF(G192&lt;=0,0,MAX(0,MIN(C192,G192-SUMIFS(H$2:H$191,A$2:A$191,A192)))))</f>
        <v/>
      </c>
      <c r="I192">
        <f>IF(C192="","",MAX(0,C192-H192))</f>
        <v/>
      </c>
      <c r="J192">
        <f>IF(I192="","",I192*D192)</f>
        <v/>
      </c>
    </row>
    <row r="193">
      <c r="A193">
        <f>IFERROR(INDEX(SORT(FILTER(Transactions!B$2:B$1000,(Transactions!C$2:C$1000="Buy")*(Transactions!B$2:B$1000&lt;&gt;"")),1,1),192),"")</f>
        <v/>
      </c>
      <c r="B193">
        <f>IF(A193="","",INDEX(SORT(FILTER(Transactions!A$2:G$1000,(Transactions!C$2:C$1000="Buy")*(Transactions!B$2:B$1000&lt;&gt;"")),2,1),192,1))</f>
        <v/>
      </c>
      <c r="C193">
        <f>IF(A193="","",INDEX(SORT(FILTER(Transactions!A$2:G$1000,(Transactions!C$2:C$1000="Buy")*(Transactions!B$2:B$1000&lt;&gt;"")),2,1),192,4))</f>
        <v/>
      </c>
      <c r="D193">
        <f>IF(A193="","",INDEX(SORT(FILTER(Transactions!A$2:G$1000,(Transactions!C$2:C$1000="Buy")*(Transactions!B$2:B$1000&lt;&gt;"")),2,1),192,5))</f>
        <v/>
      </c>
      <c r="E193">
        <f>IF(C193="","",C193*D193)</f>
        <v/>
      </c>
      <c r="F193">
        <f>IF(A193="","",SUMIFS(C:C,A:A,A193,B:B,"&lt;="&amp;B193))</f>
        <v/>
      </c>
      <c r="G193">
        <f>IF(A193="","",SUMIFS(Transactions!D:D,Transactions!B:B,A193,Transactions!C:C,"Sell"))</f>
        <v/>
      </c>
      <c r="H193">
        <f>IF(A193="","",IF(G193&lt;=0,0,MAX(0,MIN(C193,G193-SUMIFS(H$2:H$192,A$2:A$192,A193)))))</f>
        <v/>
      </c>
      <c r="I193">
        <f>IF(C193="","",MAX(0,C193-H193))</f>
        <v/>
      </c>
      <c r="J193">
        <f>IF(I193="","",I193*D193)</f>
        <v/>
      </c>
    </row>
    <row r="194">
      <c r="A194">
        <f>IFERROR(INDEX(SORT(FILTER(Transactions!B$2:B$1000,(Transactions!C$2:C$1000="Buy")*(Transactions!B$2:B$1000&lt;&gt;"")),1,1),193),"")</f>
        <v/>
      </c>
      <c r="B194">
        <f>IF(A194="","",INDEX(SORT(FILTER(Transactions!A$2:G$1000,(Transactions!C$2:C$1000="Buy")*(Transactions!B$2:B$1000&lt;&gt;"")),2,1),193,1))</f>
        <v/>
      </c>
      <c r="C194">
        <f>IF(A194="","",INDEX(SORT(FILTER(Transactions!A$2:G$1000,(Transactions!C$2:C$1000="Buy")*(Transactions!B$2:B$1000&lt;&gt;"")),2,1),193,4))</f>
        <v/>
      </c>
      <c r="D194">
        <f>IF(A194="","",INDEX(SORT(FILTER(Transactions!A$2:G$1000,(Transactions!C$2:C$1000="Buy")*(Transactions!B$2:B$1000&lt;&gt;"")),2,1),193,5))</f>
        <v/>
      </c>
      <c r="E194">
        <f>IF(C194="","",C194*D194)</f>
        <v/>
      </c>
      <c r="F194">
        <f>IF(A194="","",SUMIFS(C:C,A:A,A194,B:B,"&lt;="&amp;B194))</f>
        <v/>
      </c>
      <c r="G194">
        <f>IF(A194="","",SUMIFS(Transactions!D:D,Transactions!B:B,A194,Transactions!C:C,"Sell"))</f>
        <v/>
      </c>
      <c r="H194">
        <f>IF(A194="","",IF(G194&lt;=0,0,MAX(0,MIN(C194,G194-SUMIFS(H$2:H$193,A$2:A$193,A194)))))</f>
        <v/>
      </c>
      <c r="I194">
        <f>IF(C194="","",MAX(0,C194-H194))</f>
        <v/>
      </c>
      <c r="J194">
        <f>IF(I194="","",I194*D194)</f>
        <v/>
      </c>
    </row>
    <row r="195">
      <c r="A195">
        <f>IFERROR(INDEX(SORT(FILTER(Transactions!B$2:B$1000,(Transactions!C$2:C$1000="Buy")*(Transactions!B$2:B$1000&lt;&gt;"")),1,1),194),"")</f>
        <v/>
      </c>
      <c r="B195">
        <f>IF(A195="","",INDEX(SORT(FILTER(Transactions!A$2:G$1000,(Transactions!C$2:C$1000="Buy")*(Transactions!B$2:B$1000&lt;&gt;"")),2,1),194,1))</f>
        <v/>
      </c>
      <c r="C195">
        <f>IF(A195="","",INDEX(SORT(FILTER(Transactions!A$2:G$1000,(Transactions!C$2:C$1000="Buy")*(Transactions!B$2:B$1000&lt;&gt;"")),2,1),194,4))</f>
        <v/>
      </c>
      <c r="D195">
        <f>IF(A195="","",INDEX(SORT(FILTER(Transactions!A$2:G$1000,(Transactions!C$2:C$1000="Buy")*(Transactions!B$2:B$1000&lt;&gt;"")),2,1),194,5))</f>
        <v/>
      </c>
      <c r="E195">
        <f>IF(C195="","",C195*D195)</f>
        <v/>
      </c>
      <c r="F195">
        <f>IF(A195="","",SUMIFS(C:C,A:A,A195,B:B,"&lt;="&amp;B195))</f>
        <v/>
      </c>
      <c r="G195">
        <f>IF(A195="","",SUMIFS(Transactions!D:D,Transactions!B:B,A195,Transactions!C:C,"Sell"))</f>
        <v/>
      </c>
      <c r="H195">
        <f>IF(A195="","",IF(G195&lt;=0,0,MAX(0,MIN(C195,G195-SUMIFS(H$2:H$194,A$2:A$194,A195)))))</f>
        <v/>
      </c>
      <c r="I195">
        <f>IF(C195="","",MAX(0,C195-H195))</f>
        <v/>
      </c>
      <c r="J195">
        <f>IF(I195="","",I195*D195)</f>
        <v/>
      </c>
    </row>
    <row r="196">
      <c r="A196">
        <f>IFERROR(INDEX(SORT(FILTER(Transactions!B$2:B$1000,(Transactions!C$2:C$1000="Buy")*(Transactions!B$2:B$1000&lt;&gt;"")),1,1),195),"")</f>
        <v/>
      </c>
      <c r="B196">
        <f>IF(A196="","",INDEX(SORT(FILTER(Transactions!A$2:G$1000,(Transactions!C$2:C$1000="Buy")*(Transactions!B$2:B$1000&lt;&gt;"")),2,1),195,1))</f>
        <v/>
      </c>
      <c r="C196">
        <f>IF(A196="","",INDEX(SORT(FILTER(Transactions!A$2:G$1000,(Transactions!C$2:C$1000="Buy")*(Transactions!B$2:B$1000&lt;&gt;"")),2,1),195,4))</f>
        <v/>
      </c>
      <c r="D196">
        <f>IF(A196="","",INDEX(SORT(FILTER(Transactions!A$2:G$1000,(Transactions!C$2:C$1000="Buy")*(Transactions!B$2:B$1000&lt;&gt;"")),2,1),195,5))</f>
        <v/>
      </c>
      <c r="E196">
        <f>IF(C196="","",C196*D196)</f>
        <v/>
      </c>
      <c r="F196">
        <f>IF(A196="","",SUMIFS(C:C,A:A,A196,B:B,"&lt;="&amp;B196))</f>
        <v/>
      </c>
      <c r="G196">
        <f>IF(A196="","",SUMIFS(Transactions!D:D,Transactions!B:B,A196,Transactions!C:C,"Sell"))</f>
        <v/>
      </c>
      <c r="H196">
        <f>IF(A196="","",IF(G196&lt;=0,0,MAX(0,MIN(C196,G196-SUMIFS(H$2:H$195,A$2:A$195,A196)))))</f>
        <v/>
      </c>
      <c r="I196">
        <f>IF(C196="","",MAX(0,C196-H196))</f>
        <v/>
      </c>
      <c r="J196">
        <f>IF(I196="","",I196*D196)</f>
        <v/>
      </c>
    </row>
    <row r="197">
      <c r="A197">
        <f>IFERROR(INDEX(SORT(FILTER(Transactions!B$2:B$1000,(Transactions!C$2:C$1000="Buy")*(Transactions!B$2:B$1000&lt;&gt;"")),1,1),196),"")</f>
        <v/>
      </c>
      <c r="B197">
        <f>IF(A197="","",INDEX(SORT(FILTER(Transactions!A$2:G$1000,(Transactions!C$2:C$1000="Buy")*(Transactions!B$2:B$1000&lt;&gt;"")),2,1),196,1))</f>
        <v/>
      </c>
      <c r="C197">
        <f>IF(A197="","",INDEX(SORT(FILTER(Transactions!A$2:G$1000,(Transactions!C$2:C$1000="Buy")*(Transactions!B$2:B$1000&lt;&gt;"")),2,1),196,4))</f>
        <v/>
      </c>
      <c r="D197">
        <f>IF(A197="","",INDEX(SORT(FILTER(Transactions!A$2:G$1000,(Transactions!C$2:C$1000="Buy")*(Transactions!B$2:B$1000&lt;&gt;"")),2,1),196,5))</f>
        <v/>
      </c>
      <c r="E197">
        <f>IF(C197="","",C197*D197)</f>
        <v/>
      </c>
      <c r="F197">
        <f>IF(A197="","",SUMIFS(C:C,A:A,A197,B:B,"&lt;="&amp;B197))</f>
        <v/>
      </c>
      <c r="G197">
        <f>IF(A197="","",SUMIFS(Transactions!D:D,Transactions!B:B,A197,Transactions!C:C,"Sell"))</f>
        <v/>
      </c>
      <c r="H197">
        <f>IF(A197="","",IF(G197&lt;=0,0,MAX(0,MIN(C197,G197-SUMIFS(H$2:H$196,A$2:A$196,A197)))))</f>
        <v/>
      </c>
      <c r="I197">
        <f>IF(C197="","",MAX(0,C197-H197))</f>
        <v/>
      </c>
      <c r="J197">
        <f>IF(I197="","",I197*D197)</f>
        <v/>
      </c>
    </row>
    <row r="198">
      <c r="A198">
        <f>IFERROR(INDEX(SORT(FILTER(Transactions!B$2:B$1000,(Transactions!C$2:C$1000="Buy")*(Transactions!B$2:B$1000&lt;&gt;"")),1,1),197),"")</f>
        <v/>
      </c>
      <c r="B198">
        <f>IF(A198="","",INDEX(SORT(FILTER(Transactions!A$2:G$1000,(Transactions!C$2:C$1000="Buy")*(Transactions!B$2:B$1000&lt;&gt;"")),2,1),197,1))</f>
        <v/>
      </c>
      <c r="C198">
        <f>IF(A198="","",INDEX(SORT(FILTER(Transactions!A$2:G$1000,(Transactions!C$2:C$1000="Buy")*(Transactions!B$2:B$1000&lt;&gt;"")),2,1),197,4))</f>
        <v/>
      </c>
      <c r="D198">
        <f>IF(A198="","",INDEX(SORT(FILTER(Transactions!A$2:G$1000,(Transactions!C$2:C$1000="Buy")*(Transactions!B$2:B$1000&lt;&gt;"")),2,1),197,5))</f>
        <v/>
      </c>
      <c r="E198">
        <f>IF(C198="","",C198*D198)</f>
        <v/>
      </c>
      <c r="F198">
        <f>IF(A198="","",SUMIFS(C:C,A:A,A198,B:B,"&lt;="&amp;B198))</f>
        <v/>
      </c>
      <c r="G198">
        <f>IF(A198="","",SUMIFS(Transactions!D:D,Transactions!B:B,A198,Transactions!C:C,"Sell"))</f>
        <v/>
      </c>
      <c r="H198">
        <f>IF(A198="","",IF(G198&lt;=0,0,MAX(0,MIN(C198,G198-SUMIFS(H$2:H$197,A$2:A$197,A198)))))</f>
        <v/>
      </c>
      <c r="I198">
        <f>IF(C198="","",MAX(0,C198-H198))</f>
        <v/>
      </c>
      <c r="J198">
        <f>IF(I198="","",I198*D198)</f>
        <v/>
      </c>
    </row>
    <row r="199">
      <c r="A199">
        <f>IFERROR(INDEX(SORT(FILTER(Transactions!B$2:B$1000,(Transactions!C$2:C$1000="Buy")*(Transactions!B$2:B$1000&lt;&gt;"")),1,1),198),"")</f>
        <v/>
      </c>
      <c r="B199">
        <f>IF(A199="","",INDEX(SORT(FILTER(Transactions!A$2:G$1000,(Transactions!C$2:C$1000="Buy")*(Transactions!B$2:B$1000&lt;&gt;"")),2,1),198,1))</f>
        <v/>
      </c>
      <c r="C199">
        <f>IF(A199="","",INDEX(SORT(FILTER(Transactions!A$2:G$1000,(Transactions!C$2:C$1000="Buy")*(Transactions!B$2:B$1000&lt;&gt;"")),2,1),198,4))</f>
        <v/>
      </c>
      <c r="D199">
        <f>IF(A199="","",INDEX(SORT(FILTER(Transactions!A$2:G$1000,(Transactions!C$2:C$1000="Buy")*(Transactions!B$2:B$1000&lt;&gt;"")),2,1),198,5))</f>
        <v/>
      </c>
      <c r="E199">
        <f>IF(C199="","",C199*D199)</f>
        <v/>
      </c>
      <c r="F199">
        <f>IF(A199="","",SUMIFS(C:C,A:A,A199,B:B,"&lt;="&amp;B199))</f>
        <v/>
      </c>
      <c r="G199">
        <f>IF(A199="","",SUMIFS(Transactions!D:D,Transactions!B:B,A199,Transactions!C:C,"Sell"))</f>
        <v/>
      </c>
      <c r="H199">
        <f>IF(A199="","",IF(G199&lt;=0,0,MAX(0,MIN(C199,G199-SUMIFS(H$2:H$198,A$2:A$198,A199)))))</f>
        <v/>
      </c>
      <c r="I199">
        <f>IF(C199="","",MAX(0,C199-H199))</f>
        <v/>
      </c>
      <c r="J199">
        <f>IF(I199="","",I199*D199)</f>
        <v/>
      </c>
    </row>
    <row r="200">
      <c r="A200">
        <f>IFERROR(INDEX(SORT(FILTER(Transactions!B$2:B$1000,(Transactions!C$2:C$1000="Buy")*(Transactions!B$2:B$1000&lt;&gt;"")),1,1),199),"")</f>
        <v/>
      </c>
      <c r="B200">
        <f>IF(A200="","",INDEX(SORT(FILTER(Transactions!A$2:G$1000,(Transactions!C$2:C$1000="Buy")*(Transactions!B$2:B$1000&lt;&gt;"")),2,1),199,1))</f>
        <v/>
      </c>
      <c r="C200">
        <f>IF(A200="","",INDEX(SORT(FILTER(Transactions!A$2:G$1000,(Transactions!C$2:C$1000="Buy")*(Transactions!B$2:B$1000&lt;&gt;"")),2,1),199,4))</f>
        <v/>
      </c>
      <c r="D200">
        <f>IF(A200="","",INDEX(SORT(FILTER(Transactions!A$2:G$1000,(Transactions!C$2:C$1000="Buy")*(Transactions!B$2:B$1000&lt;&gt;"")),2,1),199,5))</f>
        <v/>
      </c>
      <c r="E200">
        <f>IF(C200="","",C200*D200)</f>
        <v/>
      </c>
      <c r="F200">
        <f>IF(A200="","",SUMIFS(C:C,A:A,A200,B:B,"&lt;="&amp;B200))</f>
        <v/>
      </c>
      <c r="G200">
        <f>IF(A200="","",SUMIFS(Transactions!D:D,Transactions!B:B,A200,Transactions!C:C,"Sell"))</f>
        <v/>
      </c>
      <c r="H200">
        <f>IF(A200="","",IF(G200&lt;=0,0,MAX(0,MIN(C200,G200-SUMIFS(H$2:H$199,A$2:A$199,A200)))))</f>
        <v/>
      </c>
      <c r="I200">
        <f>IF(C200="","",MAX(0,C200-H200))</f>
        <v/>
      </c>
      <c r="J200">
        <f>IF(I200="","",I200*D200)</f>
        <v/>
      </c>
    </row>
    <row r="201">
      <c r="A201">
        <f>IFERROR(INDEX(SORT(FILTER(Transactions!B$2:B$1000,(Transactions!C$2:C$1000="Buy")*(Transactions!B$2:B$1000&lt;&gt;"")),1,1),200),"")</f>
        <v/>
      </c>
      <c r="B201">
        <f>IF(A201="","",INDEX(SORT(FILTER(Transactions!A$2:G$1000,(Transactions!C$2:C$1000="Buy")*(Transactions!B$2:B$1000&lt;&gt;"")),2,1),200,1))</f>
        <v/>
      </c>
      <c r="C201">
        <f>IF(A201="","",INDEX(SORT(FILTER(Transactions!A$2:G$1000,(Transactions!C$2:C$1000="Buy")*(Transactions!B$2:B$1000&lt;&gt;"")),2,1),200,4))</f>
        <v/>
      </c>
      <c r="D201">
        <f>IF(A201="","",INDEX(SORT(FILTER(Transactions!A$2:G$1000,(Transactions!C$2:C$1000="Buy")*(Transactions!B$2:B$1000&lt;&gt;"")),2,1),200,5))</f>
        <v/>
      </c>
      <c r="E201">
        <f>IF(C201="","",C201*D201)</f>
        <v/>
      </c>
      <c r="F201">
        <f>IF(A201="","",SUMIFS(C:C,A:A,A201,B:B,"&lt;="&amp;B201))</f>
        <v/>
      </c>
      <c r="G201">
        <f>IF(A201="","",SUMIFS(Transactions!D:D,Transactions!B:B,A201,Transactions!C:C,"Sell"))</f>
        <v/>
      </c>
      <c r="H201">
        <f>IF(A201="","",IF(G201&lt;=0,0,MAX(0,MIN(C201,G201-SUMIFS(H$2:H$200,A$2:A$200,A201)))))</f>
        <v/>
      </c>
      <c r="I201">
        <f>IF(C201="","",MAX(0,C201-H201))</f>
        <v/>
      </c>
      <c r="J201">
        <f>IF(I201="","",I201*D201)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18" customWidth="1" min="4" max="4"/>
    <col width="15" customWidth="1" min="5" max="5"/>
    <col width="15" customWidth="1" min="6" max="6"/>
    <col width="18" customWidth="1" min="7" max="7"/>
  </cols>
  <sheetData>
    <row r="1">
      <c r="A1" s="14" t="inlineStr">
        <is>
          <t>Stock Name</t>
        </is>
      </c>
      <c r="B1" s="14" t="inlineStr">
        <is>
          <t>Net Holding Qty</t>
        </is>
      </c>
      <c r="C1" s="14" t="inlineStr">
        <is>
          <t>Current Avg Price</t>
        </is>
      </c>
      <c r="D1" s="14" t="inlineStr">
        <is>
          <t>Total Invested Value</t>
        </is>
      </c>
      <c r="E1" s="14" t="inlineStr">
        <is>
          <t>CMP</t>
        </is>
      </c>
      <c r="F1" s="14" t="inlineStr">
        <is>
          <t>Current Value</t>
        </is>
      </c>
      <c r="G1" s="14" t="inlineStr">
        <is>
          <t>Unrealized P&amp;L</t>
        </is>
      </c>
      <c r="I1" s="15" t="inlineStr">
        <is>
          <t>Note: CMP Column</t>
        </is>
      </c>
    </row>
    <row r="2">
      <c r="A2">
        <f>IFERROR(UNIQUE(FILTER(Transactions!B$2:B$1000,(Transactions!C$2:C$1000="Buy")*(Transactions!B$2:B$1000&lt;&gt;""))),"")</f>
        <v/>
      </c>
      <c r="B2">
        <f>IF(A2="","",SUMIFS(Transactions!D:D,Transactions!B:B,A2,Transactions!C:C,"Buy")-SUMIFS(Transactions!D:D,Transactions!B:B,A2,Transactions!C:C,"Sell"))</f>
        <v/>
      </c>
      <c r="C2">
        <f>IF(B2="","",IF(B2&lt;=0,"",SUMIFS(FIFO_Buy_Table!J:J,FIFO_Buy_Table!A:A,A2)/SUMIFS(FIFO_Buy_Table!I:I,FIFO_Buy_Table!A:A,A2)))</f>
        <v/>
      </c>
      <c r="D2">
        <f>IF(B2="","",IF(B2&lt;=0,"",SUMIFS(FIFO_Buy_Table!J:J,FIFO_Buy_Table!A:A,A2)))</f>
        <v/>
      </c>
      <c r="E2" t="inlineStr"/>
      <c r="F2">
        <f>IF(OR(E2="",B2=""),"",B2*E2)</f>
        <v/>
      </c>
      <c r="G2">
        <f>IF(OR(F2="",D2=""),"",F2-D2)</f>
        <v/>
      </c>
      <c r="I2" s="11" t="inlineStr">
        <is>
          <t>Enter current market price manually or use Excel Stock Data Type</t>
        </is>
      </c>
    </row>
    <row r="3"/>
  </sheetData>
  <mergeCells count="1">
    <mergeCell ref="I2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8" customWidth="1" min="4" max="4"/>
    <col width="15" customWidth="1" min="5" max="5"/>
  </cols>
  <sheetData>
    <row r="1">
      <c r="A1" s="16" t="inlineStr">
        <is>
          <t>Stock Name:</t>
        </is>
      </c>
      <c r="B1" s="17" t="inlineStr">
        <is>
          <t>ENTER_STOCK_NAME_HERE</t>
        </is>
      </c>
    </row>
    <row r="3">
      <c r="A3" s="18" t="inlineStr">
        <is>
          <t>Realized P&amp;L</t>
        </is>
      </c>
      <c r="B3" s="18" t="inlineStr">
        <is>
          <t>Unrealized P&amp;L</t>
        </is>
      </c>
      <c r="C3" s="18" t="inlineStr">
        <is>
          <t>Current Holding Qty</t>
        </is>
      </c>
      <c r="D3" s="18" t="inlineStr">
        <is>
          <t>Current Invested Value</t>
        </is>
      </c>
      <c r="E3" s="18" t="inlineStr">
        <is>
          <t>Average Buy Price</t>
        </is>
      </c>
    </row>
    <row r="4">
      <c r="A4" s="3">
        <f>IF(B1="ENTER_STOCK_NAME_HERE",0,SUMIFS(Transactions!G:G,Transactions!B:B,B1,Transactions!C:C,"Sell")-SUMIFS(FIFO_Buy_Table!E:E,FIFO_Buy_Table!A:A,B1,FIFO_Buy_Table!H:H,"&gt;0"))</f>
        <v/>
      </c>
      <c r="B4" s="3">
        <f>IF(B1="ENTER_STOCK_NAME_HERE",0,IFERROR(INDEX(Holdings!G:G,MATCH(B1,Holdings!A:A,0)),0))</f>
        <v/>
      </c>
      <c r="C4" s="19">
        <f>IF(B1="ENTER_STOCK_NAME_HERE",0,SUMIFS(Transactions!D:D,Transactions!B:B,B1,Transactions!C:C,"Buy")-SUMIFS(Transactions!D:D,Transactions!B:B,B1,Transactions!C:C,"Sell"))</f>
        <v/>
      </c>
      <c r="D4" s="3">
        <f>IF(B1="ENTER_STOCK_NAME_HERE",0,IFERROR(INDEX(Holdings!D:D,MATCH(B1,Holdings!A:A,0)),0))</f>
        <v/>
      </c>
      <c r="E4" s="3">
        <f>IF(OR(B1="ENTER_STOCK_NAME_HERE",C4=0),0,D4/C4)</f>
        <v/>
      </c>
    </row>
    <row r="6">
      <c r="A6" s="20" t="inlineStr">
        <is>
          <t>Instructions: Enter stock name in B1, then duplicate this sheet for each stock you want to track individually.</t>
        </is>
      </c>
    </row>
    <row r="7">
      <c r="A7" s="21" t="inlineStr">
        <is>
          <t>COMPLETE TRANSACTION HISTORY</t>
        </is>
      </c>
    </row>
    <row r="8">
      <c r="A8" s="22" t="inlineStr">
        <is>
          <t>Date</t>
        </is>
      </c>
      <c r="B8" s="22" t="inlineStr">
        <is>
          <t>Stock Name</t>
        </is>
      </c>
      <c r="C8" s="22" t="inlineStr">
        <is>
          <t>Type</t>
        </is>
      </c>
      <c r="D8" s="22" t="inlineStr">
        <is>
          <t>Quantity</t>
        </is>
      </c>
      <c r="E8" s="22" t="inlineStr">
        <is>
          <t>Price</t>
        </is>
      </c>
      <c r="F8" s="22" t="inlineStr">
        <is>
          <t>Brokerage/STT</t>
        </is>
      </c>
      <c r="G8" s="22" t="inlineStr">
        <is>
          <t>Total Amount</t>
        </is>
      </c>
    </row>
    <row r="9">
      <c r="A9">
        <f>IFERROR(FILTER(Transactions!A$2:G$1000,Transactions!B$2:B$1000=B1),"No transactions found")</f>
        <v/>
      </c>
    </row>
  </sheetData>
  <mergeCells count="2">
    <mergeCell ref="A6:G6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2026-05-30T11:27:48Z</dcterms:created>
  <dcterms:modified xsi:type="dcterms:W3CDTF">2026-05-30T11:27:48Z</dcterms:modified>
</cp:coreProperties>
</file>