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Portfolio" sheetId="2" state="visible" r:id="rId2"/>
    <sheet name="Dashboard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$#,##0.00"/>
    <numFmt numFmtId="166" formatCode="0.00&quot;%&quot;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8"/>
    </font>
    <font>
      <b val="1"/>
      <color rgb="001F4E78"/>
      <sz val="14"/>
    </font>
    <font>
      <b val="1"/>
      <sz val="11"/>
    </font>
    <font>
      <b val="1"/>
      <color rgb="00FFFFFF"/>
    </font>
    <font>
      <i val="1"/>
      <sz val="9"/>
    </font>
    <font>
      <b val="1"/>
      <sz val="12"/>
    </font>
    <font>
      <b val="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right" vertical="center"/>
    </xf>
    <xf numFmtId="1" fontId="4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9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8" customWidth="1" min="4" max="4"/>
    <col width="10" customWidth="1" min="5" max="5"/>
    <col width="15" customWidth="1" min="6" max="6"/>
    <col width="15" customWidth="1" min="7" max="7"/>
    <col width="14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Ticker Symbol</t>
        </is>
      </c>
      <c r="C1" s="1" t="inlineStr">
        <is>
          <t>Stock Name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Price per Share</t>
        </is>
      </c>
      <c r="G1" s="1" t="inlineStr">
        <is>
          <t>Total Amount</t>
        </is>
      </c>
      <c r="H1" s="1" t="inlineStr">
        <is>
          <t>Brokerage Fee</t>
        </is>
      </c>
      <c r="I1" s="1" t="inlineStr">
        <is>
          <t>Net Amount</t>
        </is>
      </c>
    </row>
    <row r="2">
      <c r="A2" s="2" t="n">
        <v>45306</v>
      </c>
      <c r="B2" t="inlineStr">
        <is>
          <t>AAPL</t>
        </is>
      </c>
      <c r="C2" t="inlineStr">
        <is>
          <t>Apple Inc.</t>
        </is>
      </c>
      <c r="D2" t="inlineStr">
        <is>
          <t>BUY</t>
        </is>
      </c>
      <c r="E2" t="n">
        <v>10</v>
      </c>
      <c r="F2" s="3" t="n">
        <v>185.5</v>
      </c>
      <c r="G2" s="3">
        <f>IF(E2="","",E2*F2)</f>
        <v/>
      </c>
      <c r="H2" s="3" t="n">
        <v>10</v>
      </c>
      <c r="I2" s="3">
        <f>IF(D2="","",IF(D2="BUY",G2+H2,G2-H2))</f>
        <v/>
      </c>
    </row>
    <row r="3">
      <c r="A3" s="2" t="n">
        <v>45332</v>
      </c>
      <c r="B3" t="inlineStr">
        <is>
          <t>MSFT</t>
        </is>
      </c>
      <c r="C3" t="inlineStr">
        <is>
          <t>Microsoft Corporation</t>
        </is>
      </c>
      <c r="D3" t="inlineStr">
        <is>
          <t>BUY</t>
        </is>
      </c>
      <c r="E3" t="n">
        <v>5</v>
      </c>
      <c r="F3" s="3" t="n">
        <v>405.2</v>
      </c>
      <c r="G3" s="3">
        <f>IF(E3="","",E3*F3)</f>
        <v/>
      </c>
      <c r="H3" s="3" t="n">
        <v>8</v>
      </c>
      <c r="I3" s="3">
        <f>IF(D3="","",IF(D3="BUY",G3+H3,G3-H3))</f>
        <v/>
      </c>
    </row>
    <row r="4">
      <c r="A4" s="2" t="n">
        <v>45342</v>
      </c>
      <c r="B4" t="inlineStr">
        <is>
          <t>GOOGL</t>
        </is>
      </c>
      <c r="C4" t="inlineStr">
        <is>
          <t>Alphabet Inc.</t>
        </is>
      </c>
      <c r="D4" t="inlineStr">
        <is>
          <t>BUY</t>
        </is>
      </c>
      <c r="E4" t="n">
        <v>8</v>
      </c>
      <c r="F4" s="3" t="n">
        <v>142.3</v>
      </c>
      <c r="G4" s="3">
        <f>IF(E4="","",E4*F4)</f>
        <v/>
      </c>
      <c r="H4" s="3" t="n">
        <v>10</v>
      </c>
      <c r="I4" s="3">
        <f>IF(D4="","",IF(D4="BUY",G4+H4,G4-H4))</f>
        <v/>
      </c>
    </row>
    <row r="5">
      <c r="A5" s="2" t="n">
        <v>45356</v>
      </c>
      <c r="B5" t="inlineStr">
        <is>
          <t>TSLA</t>
        </is>
      </c>
      <c r="C5" t="inlineStr">
        <is>
          <t>Tesla Inc.</t>
        </is>
      </c>
      <c r="D5" t="inlineStr">
        <is>
          <t>BUY</t>
        </is>
      </c>
      <c r="E5" t="n">
        <v>15</v>
      </c>
      <c r="F5" s="3" t="n">
        <v>178.9</v>
      </c>
      <c r="G5" s="3">
        <f>IF(E5="","",E5*F5)</f>
        <v/>
      </c>
      <c r="H5" s="3" t="n">
        <v>12</v>
      </c>
      <c r="I5" s="3">
        <f>IF(D5="","",IF(D5="BUY",G5+H5,G5-H5))</f>
        <v/>
      </c>
    </row>
    <row r="6">
      <c r="A6" s="2" t="n">
        <v>45366</v>
      </c>
      <c r="B6" t="inlineStr">
        <is>
          <t>AAPL</t>
        </is>
      </c>
      <c r="C6" t="inlineStr">
        <is>
          <t>Apple Inc.</t>
        </is>
      </c>
      <c r="D6" t="inlineStr">
        <is>
          <t>BUY</t>
        </is>
      </c>
      <c r="E6" t="n">
        <v>5</v>
      </c>
      <c r="F6" s="3" t="n">
        <v>172.4</v>
      </c>
      <c r="G6" s="3">
        <f>IF(E6="","",E6*F6)</f>
        <v/>
      </c>
      <c r="H6" s="3" t="n">
        <v>8</v>
      </c>
      <c r="I6" s="3">
        <f>IF(D6="","",IF(D6="BUY",G6+H6,G6-H6))</f>
        <v/>
      </c>
    </row>
    <row r="7">
      <c r="A7" s="2" t="n">
        <v>45383</v>
      </c>
      <c r="B7" t="inlineStr">
        <is>
          <t>NVDA</t>
        </is>
      </c>
      <c r="C7" t="inlineStr">
        <is>
          <t>NVIDIA Corporation</t>
        </is>
      </c>
      <c r="D7" t="inlineStr">
        <is>
          <t>BUY</t>
        </is>
      </c>
      <c r="E7" t="n">
        <v>12</v>
      </c>
      <c r="F7" s="3" t="n">
        <v>880.5</v>
      </c>
      <c r="G7" s="3">
        <f>IF(E7="","",E7*F7)</f>
        <v/>
      </c>
      <c r="H7" s="3" t="n">
        <v>15</v>
      </c>
      <c r="I7" s="3">
        <f>IF(D7="","",IF(D7="BUY",G7+H7,G7-H7))</f>
        <v/>
      </c>
    </row>
    <row r="8">
      <c r="A8" s="2" t="n">
        <v>45402</v>
      </c>
      <c r="B8" t="inlineStr">
        <is>
          <t>TSLA</t>
        </is>
      </c>
      <c r="C8" t="inlineStr">
        <is>
          <t>Tesla Inc.</t>
        </is>
      </c>
      <c r="D8" t="inlineStr">
        <is>
          <t>SELL</t>
        </is>
      </c>
      <c r="E8" t="n">
        <v>5</v>
      </c>
      <c r="F8" s="3" t="n">
        <v>190.5</v>
      </c>
      <c r="G8" s="3">
        <f>IF(E8="","",E8*F8)</f>
        <v/>
      </c>
      <c r="H8" s="3" t="n">
        <v>10</v>
      </c>
      <c r="I8" s="3">
        <f>IF(D8="","",IF(D8="BUY",G8+H8,G8-H8))</f>
        <v/>
      </c>
    </row>
    <row r="9">
      <c r="A9" s="2" t="n">
        <v>45422</v>
      </c>
      <c r="B9" t="inlineStr">
        <is>
          <t>META</t>
        </is>
      </c>
      <c r="C9" t="inlineStr">
        <is>
          <t>Meta Platforms Inc.</t>
        </is>
      </c>
      <c r="D9" t="inlineStr">
        <is>
          <t>BUY</t>
        </is>
      </c>
      <c r="E9" t="n">
        <v>6</v>
      </c>
      <c r="F9" s="3" t="n">
        <v>485.3</v>
      </c>
      <c r="G9" s="3">
        <f>IF(E9="","",E9*F9)</f>
        <v/>
      </c>
      <c r="H9" s="3" t="n">
        <v>10</v>
      </c>
      <c r="I9" s="3">
        <f>IF(D9="","",IF(D9="BUY",G9+H9,G9-H9))</f>
        <v/>
      </c>
    </row>
    <row r="10">
      <c r="A10" s="2" t="n">
        <v>45427</v>
      </c>
      <c r="B10" t="inlineStr">
        <is>
          <t>AMZN</t>
        </is>
      </c>
      <c r="C10" t="inlineStr">
        <is>
          <t>Amazon.com Inc.</t>
        </is>
      </c>
      <c r="D10" t="inlineStr">
        <is>
          <t>BUY</t>
        </is>
      </c>
      <c r="E10" t="n">
        <v>7</v>
      </c>
      <c r="F10" s="3" t="n">
        <v>182.7</v>
      </c>
      <c r="G10" s="3">
        <f>IF(E10="","",E10*F10)</f>
        <v/>
      </c>
      <c r="H10" s="3" t="n">
        <v>10</v>
      </c>
      <c r="I10" s="3">
        <f>IF(D10="","",IF(D10="BUY",G10+H10,G10-H10))</f>
        <v/>
      </c>
    </row>
    <row r="11">
      <c r="A11" s="2" t="n">
        <v>45437</v>
      </c>
      <c r="B11" t="inlineStr">
        <is>
          <t>AAPL</t>
        </is>
      </c>
      <c r="C11" t="inlineStr">
        <is>
          <t>Apple Inc.</t>
        </is>
      </c>
      <c r="D11" t="inlineStr">
        <is>
          <t>SELL</t>
        </is>
      </c>
      <c r="E11" t="n">
        <v>3</v>
      </c>
      <c r="F11" s="3" t="n">
        <v>192.3</v>
      </c>
      <c r="G11" s="3">
        <f>IF(E11="","",E11*F11)</f>
        <v/>
      </c>
      <c r="H11" s="3" t="n">
        <v>8</v>
      </c>
      <c r="I11" s="3">
        <f>IF(D11="","",IF(D11="BUY",G11+H11,G11-H11))</f>
        <v/>
      </c>
    </row>
    <row r="12">
      <c r="A12" s="2" t="n"/>
      <c r="F12" s="3" t="n"/>
      <c r="G12" s="3">
        <f>IF(E12="","",E12*F12)</f>
        <v/>
      </c>
      <c r="H12" s="3" t="n"/>
      <c r="I12" s="3">
        <f>IF(D12="","",IF(D12="BUY",G12+H12,G12-H12))</f>
        <v/>
      </c>
    </row>
    <row r="13">
      <c r="A13" s="2" t="n"/>
      <c r="F13" s="3" t="n"/>
      <c r="G13" s="3">
        <f>IF(E13="","",E13*F13)</f>
        <v/>
      </c>
      <c r="H13" s="3" t="n"/>
      <c r="I13" s="3">
        <f>IF(D13="","",IF(D13="BUY",G13+H13,G13-H13))</f>
        <v/>
      </c>
    </row>
    <row r="14">
      <c r="A14" s="2" t="n"/>
      <c r="F14" s="3" t="n"/>
      <c r="G14" s="3">
        <f>IF(E14="","",E14*F14)</f>
        <v/>
      </c>
      <c r="H14" s="3" t="n"/>
      <c r="I14" s="3">
        <f>IF(D14="","",IF(D14="BUY",G14+H14,G14-H14))</f>
        <v/>
      </c>
    </row>
    <row r="15">
      <c r="A15" s="2" t="n"/>
      <c r="F15" s="3" t="n"/>
      <c r="G15" s="3">
        <f>IF(E15="","",E15*F15)</f>
        <v/>
      </c>
      <c r="H15" s="3" t="n"/>
      <c r="I15" s="3">
        <f>IF(D15="","",IF(D15="BUY",G15+H15,G15-H15))</f>
        <v/>
      </c>
    </row>
    <row r="16">
      <c r="A16" s="2" t="n"/>
      <c r="F16" s="3" t="n"/>
      <c r="G16" s="3">
        <f>IF(E16="","",E16*F16)</f>
        <v/>
      </c>
      <c r="H16" s="3" t="n"/>
      <c r="I16" s="3">
        <f>IF(D16="","",IF(D16="BUY",G16+H16,G16-H16))</f>
        <v/>
      </c>
    </row>
    <row r="17">
      <c r="A17" s="2" t="n"/>
      <c r="F17" s="3" t="n"/>
      <c r="G17" s="3">
        <f>IF(E17="","",E17*F17)</f>
        <v/>
      </c>
      <c r="H17" s="3" t="n"/>
      <c r="I17" s="3">
        <f>IF(D17="","",IF(D17="BUY",G17+H17,G17-H17))</f>
        <v/>
      </c>
    </row>
    <row r="18">
      <c r="A18" s="2" t="n"/>
      <c r="F18" s="3" t="n"/>
      <c r="G18" s="3">
        <f>IF(E18="","",E18*F18)</f>
        <v/>
      </c>
      <c r="H18" s="3" t="n"/>
      <c r="I18" s="3">
        <f>IF(D18="","",IF(D18="BUY",G18+H18,G18-H18))</f>
        <v/>
      </c>
    </row>
    <row r="19">
      <c r="A19" s="2" t="n"/>
      <c r="F19" s="3" t="n"/>
      <c r="G19" s="3">
        <f>IF(E19="","",E19*F19)</f>
        <v/>
      </c>
      <c r="H19" s="3" t="n"/>
      <c r="I19" s="3">
        <f>IF(D19="","",IF(D19="BUY",G19+H19,G19-H19))</f>
        <v/>
      </c>
    </row>
    <row r="20">
      <c r="A20" s="2" t="n"/>
      <c r="F20" s="3" t="n"/>
      <c r="G20" s="3">
        <f>IF(E20="","",E20*F20)</f>
        <v/>
      </c>
      <c r="H20" s="3" t="n"/>
      <c r="I20" s="3">
        <f>IF(D20="","",IF(D20="BUY",G20+H20,G20-H20))</f>
        <v/>
      </c>
    </row>
    <row r="21">
      <c r="A21" s="2" t="n"/>
      <c r="F21" s="3" t="n"/>
      <c r="G21" s="3">
        <f>IF(E21="","",E21*F21)</f>
        <v/>
      </c>
      <c r="H21" s="3" t="n"/>
      <c r="I21" s="3">
        <f>IF(D21="","",IF(D21="BUY",G21+H21,G21-H21))</f>
        <v/>
      </c>
    </row>
    <row r="22">
      <c r="A22" s="2" t="n"/>
      <c r="F22" s="3" t="n"/>
      <c r="G22" s="3">
        <f>IF(E22="","",E22*F22)</f>
        <v/>
      </c>
      <c r="H22" s="3" t="n"/>
      <c r="I22" s="3">
        <f>IF(D22="","",IF(D22="BUY",G22+H22,G22-H22))</f>
        <v/>
      </c>
    </row>
    <row r="23">
      <c r="A23" s="2" t="n"/>
      <c r="F23" s="3" t="n"/>
      <c r="G23" s="3">
        <f>IF(E23="","",E23*F23)</f>
        <v/>
      </c>
      <c r="H23" s="3" t="n"/>
      <c r="I23" s="3">
        <f>IF(D23="","",IF(D23="BUY",G23+H23,G23-H23))</f>
        <v/>
      </c>
    </row>
    <row r="24">
      <c r="A24" s="2" t="n"/>
      <c r="F24" s="3" t="n"/>
      <c r="G24" s="3">
        <f>IF(E24="","",E24*F24)</f>
        <v/>
      </c>
      <c r="H24" s="3" t="n"/>
      <c r="I24" s="3">
        <f>IF(D24="","",IF(D24="BUY",G24+H24,G24-H24))</f>
        <v/>
      </c>
    </row>
    <row r="25">
      <c r="A25" s="2" t="n"/>
      <c r="F25" s="3" t="n"/>
      <c r="G25" s="3">
        <f>IF(E25="","",E25*F25)</f>
        <v/>
      </c>
      <c r="H25" s="3" t="n"/>
      <c r="I25" s="3">
        <f>IF(D25="","",IF(D25="BUY",G25+H25,G25-H25))</f>
        <v/>
      </c>
    </row>
    <row r="26">
      <c r="A26" s="2" t="n"/>
      <c r="F26" s="3" t="n"/>
      <c r="G26" s="3">
        <f>IF(E26="","",E26*F26)</f>
        <v/>
      </c>
      <c r="H26" s="3" t="n"/>
      <c r="I26" s="3">
        <f>IF(D26="","",IF(D26="BUY",G26+H26,G26-H26))</f>
        <v/>
      </c>
    </row>
    <row r="27">
      <c r="A27" s="2" t="n"/>
      <c r="F27" s="3" t="n"/>
      <c r="G27" s="3">
        <f>IF(E27="","",E27*F27)</f>
        <v/>
      </c>
      <c r="H27" s="3" t="n"/>
      <c r="I27" s="3">
        <f>IF(D27="","",IF(D27="BUY",G27+H27,G27-H27))</f>
        <v/>
      </c>
    </row>
    <row r="28">
      <c r="A28" s="2" t="n"/>
      <c r="F28" s="3" t="n"/>
      <c r="G28" s="3">
        <f>IF(E28="","",E28*F28)</f>
        <v/>
      </c>
      <c r="H28" s="3" t="n"/>
      <c r="I28" s="3">
        <f>IF(D28="","",IF(D28="BUY",G28+H28,G28-H28))</f>
        <v/>
      </c>
    </row>
    <row r="29">
      <c r="A29" s="2" t="n"/>
      <c r="F29" s="3" t="n"/>
      <c r="G29" s="3">
        <f>IF(E29="","",E29*F29)</f>
        <v/>
      </c>
      <c r="H29" s="3" t="n"/>
      <c r="I29" s="3">
        <f>IF(D29="","",IF(D29="BUY",G29+H29,G29-H29))</f>
        <v/>
      </c>
    </row>
    <row r="30">
      <c r="A30" s="2" t="n"/>
      <c r="F30" s="3" t="n"/>
      <c r="G30" s="3">
        <f>IF(E30="","",E30*F30)</f>
        <v/>
      </c>
      <c r="H30" s="3" t="n"/>
      <c r="I30" s="3">
        <f>IF(D30="","",IF(D30="BUY",G30+H30,G30-H30))</f>
        <v/>
      </c>
    </row>
    <row r="31">
      <c r="A31" s="2" t="n"/>
      <c r="F31" s="3" t="n"/>
      <c r="G31" s="3">
        <f>IF(E31="","",E31*F31)</f>
        <v/>
      </c>
      <c r="H31" s="3" t="n"/>
      <c r="I31" s="3">
        <f>IF(D31="","",IF(D31="BUY",G31+H31,G31-H31))</f>
        <v/>
      </c>
    </row>
    <row r="32">
      <c r="A32" s="2" t="n"/>
      <c r="F32" s="3" t="n"/>
      <c r="G32" s="3">
        <f>IF(E32="","",E32*F32)</f>
        <v/>
      </c>
      <c r="H32" s="3" t="n"/>
      <c r="I32" s="3">
        <f>IF(D32="","",IF(D32="BUY",G32+H32,G32-H32))</f>
        <v/>
      </c>
    </row>
    <row r="33">
      <c r="A33" s="2" t="n"/>
      <c r="F33" s="3" t="n"/>
      <c r="G33" s="3">
        <f>IF(E33="","",E33*F33)</f>
        <v/>
      </c>
      <c r="H33" s="3" t="n"/>
      <c r="I33" s="3">
        <f>IF(D33="","",IF(D33="BUY",G33+H33,G33-H33))</f>
        <v/>
      </c>
    </row>
    <row r="34">
      <c r="A34" s="2" t="n"/>
      <c r="F34" s="3" t="n"/>
      <c r="G34" s="3">
        <f>IF(E34="","",E34*F34)</f>
        <v/>
      </c>
      <c r="H34" s="3" t="n"/>
      <c r="I34" s="3">
        <f>IF(D34="","",IF(D34="BUY",G34+H34,G34-H34))</f>
        <v/>
      </c>
    </row>
    <row r="35">
      <c r="A35" s="2" t="n"/>
      <c r="F35" s="3" t="n"/>
      <c r="G35" s="3">
        <f>IF(E35="","",E35*F35)</f>
        <v/>
      </c>
      <c r="H35" s="3" t="n"/>
      <c r="I35" s="3">
        <f>IF(D35="","",IF(D35="BUY",G35+H35,G35-H35))</f>
        <v/>
      </c>
    </row>
    <row r="36">
      <c r="A36" s="2" t="n"/>
      <c r="F36" s="3" t="n"/>
      <c r="G36" s="3">
        <f>IF(E36="","",E36*F36)</f>
        <v/>
      </c>
      <c r="H36" s="3" t="n"/>
      <c r="I36" s="3">
        <f>IF(D36="","",IF(D36="BUY",G36+H36,G36-H36))</f>
        <v/>
      </c>
    </row>
    <row r="37">
      <c r="A37" s="2" t="n"/>
      <c r="F37" s="3" t="n"/>
      <c r="G37" s="3">
        <f>IF(E37="","",E37*F37)</f>
        <v/>
      </c>
      <c r="H37" s="3" t="n"/>
      <c r="I37" s="3">
        <f>IF(D37="","",IF(D37="BUY",G37+H37,G37-H37))</f>
        <v/>
      </c>
    </row>
    <row r="38">
      <c r="A38" s="2" t="n"/>
      <c r="F38" s="3" t="n"/>
      <c r="G38" s="3">
        <f>IF(E38="","",E38*F38)</f>
        <v/>
      </c>
      <c r="H38" s="3" t="n"/>
      <c r="I38" s="3">
        <f>IF(D38="","",IF(D38="BUY",G38+H38,G38-H38))</f>
        <v/>
      </c>
    </row>
    <row r="39">
      <c r="A39" s="2" t="n"/>
      <c r="F39" s="3" t="n"/>
      <c r="G39" s="3">
        <f>IF(E39="","",E39*F39)</f>
        <v/>
      </c>
      <c r="H39" s="3" t="n"/>
      <c r="I39" s="3">
        <f>IF(D39="","",IF(D39="BUY",G39+H39,G39-H39))</f>
        <v/>
      </c>
    </row>
    <row r="40">
      <c r="A40" s="2" t="n"/>
      <c r="F40" s="3" t="n"/>
      <c r="G40" s="3">
        <f>IF(E40="","",E40*F40)</f>
        <v/>
      </c>
      <c r="H40" s="3" t="n"/>
      <c r="I40" s="3">
        <f>IF(D40="","",IF(D40="BUY",G40+H40,G40-H40))</f>
        <v/>
      </c>
    </row>
    <row r="41">
      <c r="A41" s="2" t="n"/>
      <c r="F41" s="3" t="n"/>
      <c r="G41" s="3">
        <f>IF(E41="","",E41*F41)</f>
        <v/>
      </c>
      <c r="H41" s="3" t="n"/>
      <c r="I41" s="3">
        <f>IF(D41="","",IF(D41="BUY",G41+H41,G41-H41))</f>
        <v/>
      </c>
    </row>
    <row r="42">
      <c r="A42" s="2" t="n"/>
      <c r="F42" s="3" t="n"/>
      <c r="G42" s="3">
        <f>IF(E42="","",E42*F42)</f>
        <v/>
      </c>
      <c r="H42" s="3" t="n"/>
      <c r="I42" s="3">
        <f>IF(D42="","",IF(D42="BUY",G42+H42,G42-H42))</f>
        <v/>
      </c>
    </row>
    <row r="43">
      <c r="A43" s="2" t="n"/>
      <c r="F43" s="3" t="n"/>
      <c r="G43" s="3">
        <f>IF(E43="","",E43*F43)</f>
        <v/>
      </c>
      <c r="H43" s="3" t="n"/>
      <c r="I43" s="3">
        <f>IF(D43="","",IF(D43="BUY",G43+H43,G43-H43))</f>
        <v/>
      </c>
    </row>
    <row r="44">
      <c r="A44" s="2" t="n"/>
      <c r="F44" s="3" t="n"/>
      <c r="G44" s="3">
        <f>IF(E44="","",E44*F44)</f>
        <v/>
      </c>
      <c r="H44" s="3" t="n"/>
      <c r="I44" s="3">
        <f>IF(D44="","",IF(D44="BUY",G44+H44,G44-H44))</f>
        <v/>
      </c>
    </row>
    <row r="45">
      <c r="A45" s="2" t="n"/>
      <c r="F45" s="3" t="n"/>
      <c r="G45" s="3">
        <f>IF(E45="","",E45*F45)</f>
        <v/>
      </c>
      <c r="H45" s="3" t="n"/>
      <c r="I45" s="3">
        <f>IF(D45="","",IF(D45="BUY",G45+H45,G45-H45))</f>
        <v/>
      </c>
    </row>
    <row r="46">
      <c r="A46" s="2" t="n"/>
      <c r="F46" s="3" t="n"/>
      <c r="G46" s="3">
        <f>IF(E46="","",E46*F46)</f>
        <v/>
      </c>
      <c r="H46" s="3" t="n"/>
      <c r="I46" s="3">
        <f>IF(D46="","",IF(D46="BUY",G46+H46,G46-H46))</f>
        <v/>
      </c>
    </row>
    <row r="47">
      <c r="A47" s="2" t="n"/>
      <c r="F47" s="3" t="n"/>
      <c r="G47" s="3">
        <f>IF(E47="","",E47*F47)</f>
        <v/>
      </c>
      <c r="H47" s="3" t="n"/>
      <c r="I47" s="3">
        <f>IF(D47="","",IF(D47="BUY",G47+H47,G47-H47))</f>
        <v/>
      </c>
    </row>
    <row r="48">
      <c r="A48" s="2" t="n"/>
      <c r="F48" s="3" t="n"/>
      <c r="G48" s="3">
        <f>IF(E48="","",E48*F48)</f>
        <v/>
      </c>
      <c r="H48" s="3" t="n"/>
      <c r="I48" s="3">
        <f>IF(D48="","",IF(D48="BUY",G48+H48,G48-H48))</f>
        <v/>
      </c>
    </row>
    <row r="49">
      <c r="A49" s="2" t="n"/>
      <c r="F49" s="3" t="n"/>
      <c r="G49" s="3">
        <f>IF(E49="","",E49*F49)</f>
        <v/>
      </c>
      <c r="H49" s="3" t="n"/>
      <c r="I49" s="3">
        <f>IF(D49="","",IF(D49="BUY",G49+H49,G49-H49))</f>
        <v/>
      </c>
    </row>
    <row r="50">
      <c r="A50" s="2" t="n"/>
      <c r="F50" s="3" t="n"/>
      <c r="G50" s="3">
        <f>IF(E50="","",E50*F50)</f>
        <v/>
      </c>
      <c r="H50" s="3" t="n"/>
      <c r="I50" s="3">
        <f>IF(D50="","",IF(D50="BUY",G50+H50,G50-H50))</f>
        <v/>
      </c>
    </row>
    <row r="51">
      <c r="A51" s="2" t="n"/>
      <c r="F51" s="3" t="n"/>
      <c r="G51" s="3">
        <f>IF(E51="","",E51*F51)</f>
        <v/>
      </c>
      <c r="H51" s="3" t="n"/>
      <c r="I51" s="3">
        <f>IF(D51="","",IF(D51="BUY",G51+H51,G51-H51))</f>
        <v/>
      </c>
    </row>
    <row r="52">
      <c r="A52" s="2" t="n"/>
      <c r="F52" s="3" t="n"/>
      <c r="G52" s="3">
        <f>IF(E52="","",E52*F52)</f>
        <v/>
      </c>
      <c r="H52" s="3" t="n"/>
      <c r="I52" s="3">
        <f>IF(D52="","",IF(D52="BUY",G52+H52,G52-H52))</f>
        <v/>
      </c>
    </row>
    <row r="53">
      <c r="A53" s="2" t="n"/>
      <c r="F53" s="3" t="n"/>
      <c r="G53" s="3">
        <f>IF(E53="","",E53*F53)</f>
        <v/>
      </c>
      <c r="H53" s="3" t="n"/>
      <c r="I53" s="3">
        <f>IF(D53="","",IF(D53="BUY",G53+H53,G53-H53))</f>
        <v/>
      </c>
    </row>
    <row r="54">
      <c r="A54" s="2" t="n"/>
      <c r="F54" s="3" t="n"/>
      <c r="G54" s="3">
        <f>IF(E54="","",E54*F54)</f>
        <v/>
      </c>
      <c r="H54" s="3" t="n"/>
      <c r="I54" s="3">
        <f>IF(D54="","",IF(D54="BUY",G54+H54,G54-H54))</f>
        <v/>
      </c>
    </row>
    <row r="55">
      <c r="A55" s="2" t="n"/>
      <c r="F55" s="3" t="n"/>
      <c r="G55" s="3">
        <f>IF(E55="","",E55*F55)</f>
        <v/>
      </c>
      <c r="H55" s="3" t="n"/>
      <c r="I55" s="3">
        <f>IF(D55="","",IF(D55="BUY",G55+H55,G55-H55))</f>
        <v/>
      </c>
    </row>
    <row r="56">
      <c r="A56" s="2" t="n"/>
      <c r="F56" s="3" t="n"/>
      <c r="G56" s="3">
        <f>IF(E56="","",E56*F56)</f>
        <v/>
      </c>
      <c r="H56" s="3" t="n"/>
      <c r="I56" s="3">
        <f>IF(D56="","",IF(D56="BUY",G56+H56,G56-H56))</f>
        <v/>
      </c>
    </row>
    <row r="57">
      <c r="A57" s="2" t="n"/>
      <c r="F57" s="3" t="n"/>
      <c r="G57" s="3">
        <f>IF(E57="","",E57*F57)</f>
        <v/>
      </c>
      <c r="H57" s="3" t="n"/>
      <c r="I57" s="3">
        <f>IF(D57="","",IF(D57="BUY",G57+H57,G57-H57))</f>
        <v/>
      </c>
    </row>
    <row r="58">
      <c r="A58" s="2" t="n"/>
      <c r="F58" s="3" t="n"/>
      <c r="G58" s="3">
        <f>IF(E58="","",E58*F58)</f>
        <v/>
      </c>
      <c r="H58" s="3" t="n"/>
      <c r="I58" s="3">
        <f>IF(D58="","",IF(D58="BUY",G58+H58,G58-H58))</f>
        <v/>
      </c>
    </row>
    <row r="59">
      <c r="A59" s="2" t="n"/>
      <c r="F59" s="3" t="n"/>
      <c r="G59" s="3">
        <f>IF(E59="","",E59*F59)</f>
        <v/>
      </c>
      <c r="H59" s="3" t="n"/>
      <c r="I59" s="3">
        <f>IF(D59="","",IF(D59="BUY",G59+H59,G59-H59))</f>
        <v/>
      </c>
    </row>
    <row r="60">
      <c r="A60" s="2" t="n"/>
      <c r="F60" s="3" t="n"/>
      <c r="G60" s="3">
        <f>IF(E60="","",E60*F60)</f>
        <v/>
      </c>
      <c r="H60" s="3" t="n"/>
      <c r="I60" s="3">
        <f>IF(D60="","",IF(D60="BUY",G60+H60,G60-H60))</f>
        <v/>
      </c>
    </row>
    <row r="61">
      <c r="A61" s="2" t="n"/>
      <c r="F61" s="3" t="n"/>
      <c r="G61" s="3">
        <f>IF(E61="","",E61*F61)</f>
        <v/>
      </c>
      <c r="H61" s="3" t="n"/>
      <c r="I61" s="3">
        <f>IF(D61="","",IF(D61="BUY",G61+H61,G61-H61))</f>
        <v/>
      </c>
    </row>
    <row r="62">
      <c r="A62" s="2" t="n"/>
      <c r="F62" s="3" t="n"/>
      <c r="G62" s="3">
        <f>IF(E62="","",E62*F62)</f>
        <v/>
      </c>
      <c r="H62" s="3" t="n"/>
      <c r="I62" s="3">
        <f>IF(D62="","",IF(D62="BUY",G62+H62,G62-H62))</f>
        <v/>
      </c>
    </row>
    <row r="63">
      <c r="A63" s="2" t="n"/>
      <c r="F63" s="3" t="n"/>
      <c r="G63" s="3">
        <f>IF(E63="","",E63*F63)</f>
        <v/>
      </c>
      <c r="H63" s="3" t="n"/>
      <c r="I63" s="3">
        <f>IF(D63="","",IF(D63="BUY",G63+H63,G63-H63))</f>
        <v/>
      </c>
    </row>
    <row r="64">
      <c r="A64" s="2" t="n"/>
      <c r="F64" s="3" t="n"/>
      <c r="G64" s="3">
        <f>IF(E64="","",E64*F64)</f>
        <v/>
      </c>
      <c r="H64" s="3" t="n"/>
      <c r="I64" s="3">
        <f>IF(D64="","",IF(D64="BUY",G64+H64,G64-H64))</f>
        <v/>
      </c>
    </row>
    <row r="65">
      <c r="A65" s="2" t="n"/>
      <c r="F65" s="3" t="n"/>
      <c r="G65" s="3">
        <f>IF(E65="","",E65*F65)</f>
        <v/>
      </c>
      <c r="H65" s="3" t="n"/>
      <c r="I65" s="3">
        <f>IF(D65="","",IF(D65="BUY",G65+H65,G65-H65))</f>
        <v/>
      </c>
    </row>
    <row r="66">
      <c r="A66" s="2" t="n"/>
      <c r="F66" s="3" t="n"/>
      <c r="G66" s="3">
        <f>IF(E66="","",E66*F66)</f>
        <v/>
      </c>
      <c r="H66" s="3" t="n"/>
      <c r="I66" s="3">
        <f>IF(D66="","",IF(D66="BUY",G66+H66,G66-H66))</f>
        <v/>
      </c>
    </row>
    <row r="67">
      <c r="A67" s="2" t="n"/>
      <c r="F67" s="3" t="n"/>
      <c r="G67" s="3">
        <f>IF(E67="","",E67*F67)</f>
        <v/>
      </c>
      <c r="H67" s="3" t="n"/>
      <c r="I67" s="3">
        <f>IF(D67="","",IF(D67="BUY",G67+H67,G67-H67))</f>
        <v/>
      </c>
    </row>
    <row r="68">
      <c r="A68" s="2" t="n"/>
      <c r="F68" s="3" t="n"/>
      <c r="G68" s="3">
        <f>IF(E68="","",E68*F68)</f>
        <v/>
      </c>
      <c r="H68" s="3" t="n"/>
      <c r="I68" s="3">
        <f>IF(D68="","",IF(D68="BUY",G68+H68,G68-H68))</f>
        <v/>
      </c>
    </row>
    <row r="69">
      <c r="A69" s="2" t="n"/>
      <c r="F69" s="3" t="n"/>
      <c r="G69" s="3">
        <f>IF(E69="","",E69*F69)</f>
        <v/>
      </c>
      <c r="H69" s="3" t="n"/>
      <c r="I69" s="3">
        <f>IF(D69="","",IF(D69="BUY",G69+H69,G69-H69))</f>
        <v/>
      </c>
    </row>
    <row r="70">
      <c r="A70" s="2" t="n"/>
      <c r="F70" s="3" t="n"/>
      <c r="G70" s="3">
        <f>IF(E70="","",E70*F70)</f>
        <v/>
      </c>
      <c r="H70" s="3" t="n"/>
      <c r="I70" s="3">
        <f>IF(D70="","",IF(D70="BUY",G70+H70,G70-H70))</f>
        <v/>
      </c>
    </row>
    <row r="71">
      <c r="A71" s="2" t="n"/>
      <c r="F71" s="3" t="n"/>
      <c r="G71" s="3">
        <f>IF(E71="","",E71*F71)</f>
        <v/>
      </c>
      <c r="H71" s="3" t="n"/>
      <c r="I71" s="3">
        <f>IF(D71="","",IF(D71="BUY",G71+H71,G71-H71))</f>
        <v/>
      </c>
    </row>
    <row r="72">
      <c r="A72" s="2" t="n"/>
      <c r="F72" s="3" t="n"/>
      <c r="G72" s="3">
        <f>IF(E72="","",E72*F72)</f>
        <v/>
      </c>
      <c r="H72" s="3" t="n"/>
      <c r="I72" s="3">
        <f>IF(D72="","",IF(D72="BUY",G72+H72,G72-H72))</f>
        <v/>
      </c>
    </row>
    <row r="73">
      <c r="A73" s="2" t="n"/>
      <c r="F73" s="3" t="n"/>
      <c r="G73" s="3">
        <f>IF(E73="","",E73*F73)</f>
        <v/>
      </c>
      <c r="H73" s="3" t="n"/>
      <c r="I73" s="3">
        <f>IF(D73="","",IF(D73="BUY",G73+H73,G73-H73))</f>
        <v/>
      </c>
    </row>
    <row r="74">
      <c r="A74" s="2" t="n"/>
      <c r="F74" s="3" t="n"/>
      <c r="G74" s="3">
        <f>IF(E74="","",E74*F74)</f>
        <v/>
      </c>
      <c r="H74" s="3" t="n"/>
      <c r="I74" s="3">
        <f>IF(D74="","",IF(D74="BUY",G74+H74,G74-H74))</f>
        <v/>
      </c>
    </row>
    <row r="75">
      <c r="A75" s="2" t="n"/>
      <c r="F75" s="3" t="n"/>
      <c r="G75" s="3">
        <f>IF(E75="","",E75*F75)</f>
        <v/>
      </c>
      <c r="H75" s="3" t="n"/>
      <c r="I75" s="3">
        <f>IF(D75="","",IF(D75="BUY",G75+H75,G75-H75))</f>
        <v/>
      </c>
    </row>
    <row r="76">
      <c r="A76" s="2" t="n"/>
      <c r="F76" s="3" t="n"/>
      <c r="G76" s="3">
        <f>IF(E76="","",E76*F76)</f>
        <v/>
      </c>
      <c r="H76" s="3" t="n"/>
      <c r="I76" s="3">
        <f>IF(D76="","",IF(D76="BUY",G76+H76,G76-H76))</f>
        <v/>
      </c>
    </row>
    <row r="77">
      <c r="A77" s="2" t="n"/>
      <c r="F77" s="3" t="n"/>
      <c r="G77" s="3">
        <f>IF(E77="","",E77*F77)</f>
        <v/>
      </c>
      <c r="H77" s="3" t="n"/>
      <c r="I77" s="3">
        <f>IF(D77="","",IF(D77="BUY",G77+H77,G77-H77))</f>
        <v/>
      </c>
    </row>
    <row r="78">
      <c r="A78" s="2" t="n"/>
      <c r="F78" s="3" t="n"/>
      <c r="G78" s="3">
        <f>IF(E78="","",E78*F78)</f>
        <v/>
      </c>
      <c r="H78" s="3" t="n"/>
      <c r="I78" s="3">
        <f>IF(D78="","",IF(D78="BUY",G78+H78,G78-H78))</f>
        <v/>
      </c>
    </row>
    <row r="79">
      <c r="A79" s="2" t="n"/>
      <c r="F79" s="3" t="n"/>
      <c r="G79" s="3">
        <f>IF(E79="","",E79*F79)</f>
        <v/>
      </c>
      <c r="H79" s="3" t="n"/>
      <c r="I79" s="3">
        <f>IF(D79="","",IF(D79="BUY",G79+H79,G79-H79))</f>
        <v/>
      </c>
    </row>
    <row r="80">
      <c r="A80" s="2" t="n"/>
      <c r="F80" s="3" t="n"/>
      <c r="G80" s="3">
        <f>IF(E80="","",E80*F80)</f>
        <v/>
      </c>
      <c r="H80" s="3" t="n"/>
      <c r="I80" s="3">
        <f>IF(D80="","",IF(D80="BUY",G80+H80,G80-H80))</f>
        <v/>
      </c>
    </row>
    <row r="81">
      <c r="A81" s="2" t="n"/>
      <c r="F81" s="3" t="n"/>
      <c r="G81" s="3">
        <f>IF(E81="","",E81*F81)</f>
        <v/>
      </c>
      <c r="H81" s="3" t="n"/>
      <c r="I81" s="3">
        <f>IF(D81="","",IF(D81="BUY",G81+H81,G81-H81))</f>
        <v/>
      </c>
    </row>
    <row r="82">
      <c r="A82" s="2" t="n"/>
      <c r="F82" s="3" t="n"/>
      <c r="G82" s="3">
        <f>IF(E82="","",E82*F82)</f>
        <v/>
      </c>
      <c r="H82" s="3" t="n"/>
      <c r="I82" s="3">
        <f>IF(D82="","",IF(D82="BUY",G82+H82,G82-H82))</f>
        <v/>
      </c>
    </row>
    <row r="83">
      <c r="A83" s="2" t="n"/>
      <c r="F83" s="3" t="n"/>
      <c r="G83" s="3">
        <f>IF(E83="","",E83*F83)</f>
        <v/>
      </c>
      <c r="H83" s="3" t="n"/>
      <c r="I83" s="3">
        <f>IF(D83="","",IF(D83="BUY",G83+H83,G83-H83))</f>
        <v/>
      </c>
    </row>
    <row r="84">
      <c r="A84" s="2" t="n"/>
      <c r="F84" s="3" t="n"/>
      <c r="G84" s="3">
        <f>IF(E84="","",E84*F84)</f>
        <v/>
      </c>
      <c r="H84" s="3" t="n"/>
      <c r="I84" s="3">
        <f>IF(D84="","",IF(D84="BUY",G84+H84,G84-H84))</f>
        <v/>
      </c>
    </row>
    <row r="85">
      <c r="A85" s="2" t="n"/>
      <c r="F85" s="3" t="n"/>
      <c r="G85" s="3">
        <f>IF(E85="","",E85*F85)</f>
        <v/>
      </c>
      <c r="H85" s="3" t="n"/>
      <c r="I85" s="3">
        <f>IF(D85="","",IF(D85="BUY",G85+H85,G85-H85))</f>
        <v/>
      </c>
    </row>
    <row r="86">
      <c r="A86" s="2" t="n"/>
      <c r="F86" s="3" t="n"/>
      <c r="G86" s="3">
        <f>IF(E86="","",E86*F86)</f>
        <v/>
      </c>
      <c r="H86" s="3" t="n"/>
      <c r="I86" s="3">
        <f>IF(D86="","",IF(D86="BUY",G86+H86,G86-H86))</f>
        <v/>
      </c>
    </row>
    <row r="87">
      <c r="A87" s="2" t="n"/>
      <c r="F87" s="3" t="n"/>
      <c r="G87" s="3">
        <f>IF(E87="","",E87*F87)</f>
        <v/>
      </c>
      <c r="H87" s="3" t="n"/>
      <c r="I87" s="3">
        <f>IF(D87="","",IF(D87="BUY",G87+H87,G87-H87))</f>
        <v/>
      </c>
    </row>
    <row r="88">
      <c r="A88" s="2" t="n"/>
      <c r="F88" s="3" t="n"/>
      <c r="G88" s="3">
        <f>IF(E88="","",E88*F88)</f>
        <v/>
      </c>
      <c r="H88" s="3" t="n"/>
      <c r="I88" s="3">
        <f>IF(D88="","",IF(D88="BUY",G88+H88,G88-H88))</f>
        <v/>
      </c>
    </row>
    <row r="89">
      <c r="A89" s="2" t="n"/>
      <c r="F89" s="3" t="n"/>
      <c r="G89" s="3">
        <f>IF(E89="","",E89*F89)</f>
        <v/>
      </c>
      <c r="H89" s="3" t="n"/>
      <c r="I89" s="3">
        <f>IF(D89="","",IF(D89="BUY",G89+H89,G89-H89))</f>
        <v/>
      </c>
    </row>
    <row r="90">
      <c r="A90" s="2" t="n"/>
      <c r="F90" s="3" t="n"/>
      <c r="G90" s="3">
        <f>IF(E90="","",E90*F90)</f>
        <v/>
      </c>
      <c r="H90" s="3" t="n"/>
      <c r="I90" s="3">
        <f>IF(D90="","",IF(D90="BUY",G90+H90,G90-H90))</f>
        <v/>
      </c>
    </row>
    <row r="91">
      <c r="A91" s="2" t="n"/>
      <c r="F91" s="3" t="n"/>
      <c r="G91" s="3">
        <f>IF(E91="","",E91*F91)</f>
        <v/>
      </c>
      <c r="H91" s="3" t="n"/>
      <c r="I91" s="3">
        <f>IF(D91="","",IF(D91="BUY",G91+H91,G91-H91))</f>
        <v/>
      </c>
    </row>
    <row r="92">
      <c r="A92" s="2" t="n"/>
      <c r="F92" s="3" t="n"/>
      <c r="G92" s="3">
        <f>IF(E92="","",E92*F92)</f>
        <v/>
      </c>
      <c r="H92" s="3" t="n"/>
      <c r="I92" s="3">
        <f>IF(D92="","",IF(D92="BUY",G92+H92,G92-H92))</f>
        <v/>
      </c>
    </row>
    <row r="93">
      <c r="A93" s="2" t="n"/>
      <c r="F93" s="3" t="n"/>
      <c r="G93" s="3">
        <f>IF(E93="","",E93*F93)</f>
        <v/>
      </c>
      <c r="H93" s="3" t="n"/>
      <c r="I93" s="3">
        <f>IF(D93="","",IF(D93="BUY",G93+H93,G93-H93))</f>
        <v/>
      </c>
    </row>
    <row r="94">
      <c r="A94" s="2" t="n"/>
      <c r="F94" s="3" t="n"/>
      <c r="G94" s="3">
        <f>IF(E94="","",E94*F94)</f>
        <v/>
      </c>
      <c r="H94" s="3" t="n"/>
      <c r="I94" s="3">
        <f>IF(D94="","",IF(D94="BUY",G94+H94,G94-H94))</f>
        <v/>
      </c>
    </row>
    <row r="95">
      <c r="A95" s="2" t="n"/>
      <c r="F95" s="3" t="n"/>
      <c r="G95" s="3">
        <f>IF(E95="","",E95*F95)</f>
        <v/>
      </c>
      <c r="H95" s="3" t="n"/>
      <c r="I95" s="3">
        <f>IF(D95="","",IF(D95="BUY",G95+H95,G95-H95))</f>
        <v/>
      </c>
    </row>
    <row r="96">
      <c r="A96" s="2" t="n"/>
      <c r="F96" s="3" t="n"/>
      <c r="G96" s="3">
        <f>IF(E96="","",E96*F96)</f>
        <v/>
      </c>
      <c r="H96" s="3" t="n"/>
      <c r="I96" s="3">
        <f>IF(D96="","",IF(D96="BUY",G96+H96,G96-H96))</f>
        <v/>
      </c>
    </row>
    <row r="97">
      <c r="A97" s="2" t="n"/>
      <c r="F97" s="3" t="n"/>
      <c r="G97" s="3">
        <f>IF(E97="","",E97*F97)</f>
        <v/>
      </c>
      <c r="H97" s="3" t="n"/>
      <c r="I97" s="3">
        <f>IF(D97="","",IF(D97="BUY",G97+H97,G97-H97))</f>
        <v/>
      </c>
    </row>
    <row r="98">
      <c r="A98" s="2" t="n"/>
      <c r="F98" s="3" t="n"/>
      <c r="G98" s="3">
        <f>IF(E98="","",E98*F98)</f>
        <v/>
      </c>
      <c r="H98" s="3" t="n"/>
      <c r="I98" s="3">
        <f>IF(D98="","",IF(D98="BUY",G98+H98,G98-H98))</f>
        <v/>
      </c>
    </row>
    <row r="99">
      <c r="A99" s="2" t="n"/>
      <c r="F99" s="3" t="n"/>
      <c r="G99" s="3">
        <f>IF(E99="","",E99*F99)</f>
        <v/>
      </c>
      <c r="H99" s="3" t="n"/>
      <c r="I99" s="3">
        <f>IF(D99="","",IF(D99="BUY",G99+H99,G99-H99))</f>
        <v/>
      </c>
    </row>
    <row r="100">
      <c r="A100" s="2" t="n"/>
      <c r="F100" s="3" t="n"/>
      <c r="G100" s="3">
        <f>IF(E100="","",E100*F100)</f>
        <v/>
      </c>
      <c r="H100" s="3" t="n"/>
      <c r="I100" s="3">
        <f>IF(D100="","",IF(D100="BUY",G100+H100,G100-H100))</f>
        <v/>
      </c>
    </row>
    <row r="101">
      <c r="A101" s="2" t="n"/>
      <c r="F101" s="3" t="n"/>
      <c r="G101" s="3">
        <f>IF(E101="","",E101*F101)</f>
        <v/>
      </c>
      <c r="H101" s="3" t="n"/>
      <c r="I101" s="3">
        <f>IF(D101="","",IF(D101="BUY",G101+H101,G101-H101))</f>
        <v/>
      </c>
    </row>
  </sheetData>
  <dataValidations count="1">
    <dataValidation sqref="D2:D1000" showDropDown="0" showInputMessage="0" showErrorMessage="0" allowBlank="1" errorTitle="Invalid Entry" error="Please select BUY or SELL" type="list">
      <formula1>"BUY,SELL"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5" customWidth="1" min="5" max="5"/>
    <col width="14" customWidth="1" min="6" max="6"/>
    <col width="15" customWidth="1" min="7" max="7"/>
    <col width="18" customWidth="1" min="8" max="8"/>
    <col width="15" customWidth="1" min="9" max="9"/>
    <col width="15" customWidth="1" min="10" max="10"/>
    <col width="10" customWidth="1" min="11" max="11"/>
  </cols>
  <sheetData>
    <row r="1">
      <c r="A1" s="4" t="inlineStr">
        <is>
          <t>Ticker</t>
        </is>
      </c>
      <c r="B1" s="4" t="inlineStr">
        <is>
          <t>Stock Name</t>
        </is>
      </c>
      <c r="C1" s="4" t="inlineStr">
        <is>
          <t>Total Bought</t>
        </is>
      </c>
      <c r="D1" s="4" t="inlineStr">
        <is>
          <t>Total Sold</t>
        </is>
      </c>
      <c r="E1" s="4" t="inlineStr">
        <is>
          <t>Current Holdings</t>
        </is>
      </c>
      <c r="F1" s="4" t="inlineStr">
        <is>
          <t>Avg Buy Price</t>
        </is>
      </c>
      <c r="G1" s="4" t="inlineStr">
        <is>
          <t>Total Invested</t>
        </is>
      </c>
      <c r="H1" s="4" t="inlineStr">
        <is>
          <t>Current Market Price</t>
        </is>
      </c>
      <c r="I1" s="4" t="inlineStr">
        <is>
          <t>Current Value</t>
        </is>
      </c>
      <c r="J1" s="4" t="inlineStr">
        <is>
          <t>Profit/Loss</t>
        </is>
      </c>
      <c r="K1" s="4" t="inlineStr">
        <is>
          <t>P/L %</t>
        </is>
      </c>
    </row>
    <row r="2">
      <c r="A2" t="inlineStr">
        <is>
          <t>AAPL</t>
        </is>
      </c>
      <c r="B2">
        <f>IF(A2="","",IFERROR(INDEX(Transactions!C:C,MATCH(A2,Transactions!B:B,0)),""))</f>
        <v/>
      </c>
      <c r="C2">
        <f>IF(A2="","",SUMIFS(Transactions!E:E,Transactions!B:B,A2,Transactions!D:D,"BUY"))</f>
        <v/>
      </c>
      <c r="D2">
        <f>IF(A2="","",SUMIFS(Transactions!E:E,Transactions!B:B,A2,Transactions!D:D,"SELL"))</f>
        <v/>
      </c>
      <c r="E2">
        <f>IF(A2="","",C2-D2)</f>
        <v/>
      </c>
      <c r="F2" s="3">
        <f>IF(C2=0,"",SUMIFS(Transactions!I:I,Transactions!B:B,A2,Transactions!D:D,"BUY")/C2)</f>
        <v/>
      </c>
      <c r="G2" s="3">
        <f>IF(E2="","",E2*F2)</f>
        <v/>
      </c>
      <c r="H2" s="3" t="n">
        <v>195.5</v>
      </c>
      <c r="I2" s="3">
        <f>IF(E2="","",IF(H2="","",E2*H2))</f>
        <v/>
      </c>
      <c r="J2" s="3">
        <f>IF(I2="","",I2-G2)</f>
        <v/>
      </c>
      <c r="K2" s="5">
        <f>IF(G2=0,"",IF(J2="","",(J2/G2)*100))</f>
        <v/>
      </c>
    </row>
    <row r="3">
      <c r="A3" t="inlineStr">
        <is>
          <t>MSFT</t>
        </is>
      </c>
      <c r="B3">
        <f>IF(A3="","",IFERROR(INDEX(Transactions!C:C,MATCH(A3,Transactions!B:B,0)),""))</f>
        <v/>
      </c>
      <c r="C3">
        <f>IF(A3="","",SUMIFS(Transactions!E:E,Transactions!B:B,A3,Transactions!D:D,"BUY"))</f>
        <v/>
      </c>
      <c r="D3">
        <f>IF(A3="","",SUMIFS(Transactions!E:E,Transactions!B:B,A3,Transactions!D:D,"SELL"))</f>
        <v/>
      </c>
      <c r="E3">
        <f>IF(A3="","",C3-D3)</f>
        <v/>
      </c>
      <c r="F3" s="3">
        <f>IF(C3=0,"",SUMIFS(Transactions!I:I,Transactions!B:B,A3,Transactions!D:D,"BUY")/C3)</f>
        <v/>
      </c>
      <c r="G3" s="3">
        <f>IF(E3="","",E3*F3)</f>
        <v/>
      </c>
      <c r="H3" s="3" t="n">
        <v>420.3</v>
      </c>
      <c r="I3" s="3">
        <f>IF(E3="","",IF(H3="","",E3*H3))</f>
        <v/>
      </c>
      <c r="J3" s="3">
        <f>IF(I3="","",I3-G3)</f>
        <v/>
      </c>
      <c r="K3" s="5">
        <f>IF(G3=0,"",IF(J3="","",(J3/G3)*100))</f>
        <v/>
      </c>
    </row>
    <row r="4">
      <c r="A4" t="inlineStr">
        <is>
          <t>GOOGL</t>
        </is>
      </c>
      <c r="B4">
        <f>IF(A4="","",IFERROR(INDEX(Transactions!C:C,MATCH(A4,Transactions!B:B,0)),""))</f>
        <v/>
      </c>
      <c r="C4">
        <f>IF(A4="","",SUMIFS(Transactions!E:E,Transactions!B:B,A4,Transactions!D:D,"BUY"))</f>
        <v/>
      </c>
      <c r="D4">
        <f>IF(A4="","",SUMIFS(Transactions!E:E,Transactions!B:B,A4,Transactions!D:D,"SELL"))</f>
        <v/>
      </c>
      <c r="E4">
        <f>IF(A4="","",C4-D4)</f>
        <v/>
      </c>
      <c r="F4" s="3">
        <f>IF(C4=0,"",SUMIFS(Transactions!I:I,Transactions!B:B,A4,Transactions!D:D,"BUY")/C4)</f>
        <v/>
      </c>
      <c r="G4" s="3">
        <f>IF(E4="","",E4*F4)</f>
        <v/>
      </c>
      <c r="H4" s="3" t="n">
        <v>148.9</v>
      </c>
      <c r="I4" s="3">
        <f>IF(E4="","",IF(H4="","",E4*H4))</f>
        <v/>
      </c>
      <c r="J4" s="3">
        <f>IF(I4="","",I4-G4)</f>
        <v/>
      </c>
      <c r="K4" s="5">
        <f>IF(G4=0,"",IF(J4="","",(J4/G4)*100))</f>
        <v/>
      </c>
    </row>
    <row r="5">
      <c r="A5" t="inlineStr">
        <is>
          <t>TSLA</t>
        </is>
      </c>
      <c r="B5">
        <f>IF(A5="","",IFERROR(INDEX(Transactions!C:C,MATCH(A5,Transactions!B:B,0)),""))</f>
        <v/>
      </c>
      <c r="C5">
        <f>IF(A5="","",SUMIFS(Transactions!E:E,Transactions!B:B,A5,Transactions!D:D,"BUY"))</f>
        <v/>
      </c>
      <c r="D5">
        <f>IF(A5="","",SUMIFS(Transactions!E:E,Transactions!B:B,A5,Transactions!D:D,"SELL"))</f>
        <v/>
      </c>
      <c r="E5">
        <f>IF(A5="","",C5-D5)</f>
        <v/>
      </c>
      <c r="F5" s="3">
        <f>IF(C5=0,"",SUMIFS(Transactions!I:I,Transactions!B:B,A5,Transactions!D:D,"BUY")/C5)</f>
        <v/>
      </c>
      <c r="G5" s="3">
        <f>IF(E5="","",E5*F5)</f>
        <v/>
      </c>
      <c r="H5" s="3" t="n">
        <v>185.2</v>
      </c>
      <c r="I5" s="3">
        <f>IF(E5="","",IF(H5="","",E5*H5))</f>
        <v/>
      </c>
      <c r="J5" s="3">
        <f>IF(I5="","",I5-G5)</f>
        <v/>
      </c>
      <c r="K5" s="5">
        <f>IF(G5=0,"",IF(J5="","",(J5/G5)*100))</f>
        <v/>
      </c>
    </row>
    <row r="6">
      <c r="A6" t="inlineStr">
        <is>
          <t>NVDA</t>
        </is>
      </c>
      <c r="B6">
        <f>IF(A6="","",IFERROR(INDEX(Transactions!C:C,MATCH(A6,Transactions!B:B,0)),""))</f>
        <v/>
      </c>
      <c r="C6">
        <f>IF(A6="","",SUMIFS(Transactions!E:E,Transactions!B:B,A6,Transactions!D:D,"BUY"))</f>
        <v/>
      </c>
      <c r="D6">
        <f>IF(A6="","",SUMIFS(Transactions!E:E,Transactions!B:B,A6,Transactions!D:D,"SELL"))</f>
        <v/>
      </c>
      <c r="E6">
        <f>IF(A6="","",C6-D6)</f>
        <v/>
      </c>
      <c r="F6" s="3">
        <f>IF(C6=0,"",SUMIFS(Transactions!I:I,Transactions!B:B,A6,Transactions!D:D,"BUY")/C6)</f>
        <v/>
      </c>
      <c r="G6" s="3">
        <f>IF(E6="","",E6*F6)</f>
        <v/>
      </c>
      <c r="H6" s="3" t="n">
        <v>920</v>
      </c>
      <c r="I6" s="3">
        <f>IF(E6="","",IF(H6="","",E6*H6))</f>
        <v/>
      </c>
      <c r="J6" s="3">
        <f>IF(I6="","",I6-G6)</f>
        <v/>
      </c>
      <c r="K6" s="5">
        <f>IF(G6=0,"",IF(J6="","",(J6/G6)*100))</f>
        <v/>
      </c>
    </row>
    <row r="7">
      <c r="A7" t="inlineStr">
        <is>
          <t>META</t>
        </is>
      </c>
      <c r="B7">
        <f>IF(A7="","",IFERROR(INDEX(Transactions!C:C,MATCH(A7,Transactions!B:B,0)),""))</f>
        <v/>
      </c>
      <c r="C7">
        <f>IF(A7="","",SUMIFS(Transactions!E:E,Transactions!B:B,A7,Transactions!D:D,"BUY"))</f>
        <v/>
      </c>
      <c r="D7">
        <f>IF(A7="","",SUMIFS(Transactions!E:E,Transactions!B:B,A7,Transactions!D:D,"SELL"))</f>
        <v/>
      </c>
      <c r="E7">
        <f>IF(A7="","",C7-D7)</f>
        <v/>
      </c>
      <c r="F7" s="3">
        <f>IF(C7=0,"",SUMIFS(Transactions!I:I,Transactions!B:B,A7,Transactions!D:D,"BUY")/C7)</f>
        <v/>
      </c>
      <c r="G7" s="3">
        <f>IF(E7="","",E7*F7)</f>
        <v/>
      </c>
      <c r="H7" s="3" t="n">
        <v>495.6</v>
      </c>
      <c r="I7" s="3">
        <f>IF(E7="","",IF(H7="","",E7*H7))</f>
        <v/>
      </c>
      <c r="J7" s="3">
        <f>IF(I7="","",I7-G7)</f>
        <v/>
      </c>
      <c r="K7" s="5">
        <f>IF(G7=0,"",IF(J7="","",(J7/G7)*100))</f>
        <v/>
      </c>
    </row>
    <row r="8">
      <c r="A8" t="inlineStr">
        <is>
          <t>AMZN</t>
        </is>
      </c>
      <c r="B8">
        <f>IF(A8="","",IFERROR(INDEX(Transactions!C:C,MATCH(A8,Transactions!B:B,0)),""))</f>
        <v/>
      </c>
      <c r="C8">
        <f>IF(A8="","",SUMIFS(Transactions!E:E,Transactions!B:B,A8,Transactions!D:D,"BUY"))</f>
        <v/>
      </c>
      <c r="D8">
        <f>IF(A8="","",SUMIFS(Transactions!E:E,Transactions!B:B,A8,Transactions!D:D,"SELL"))</f>
        <v/>
      </c>
      <c r="E8">
        <f>IF(A8="","",C8-D8)</f>
        <v/>
      </c>
      <c r="F8" s="3">
        <f>IF(C8=0,"",SUMIFS(Transactions!I:I,Transactions!B:B,A8,Transactions!D:D,"BUY")/C8)</f>
        <v/>
      </c>
      <c r="G8" s="3">
        <f>IF(E8="","",E8*F8)</f>
        <v/>
      </c>
      <c r="H8" s="3" t="n">
        <v>188.9</v>
      </c>
      <c r="I8" s="3">
        <f>IF(E8="","",IF(H8="","",E8*H8))</f>
        <v/>
      </c>
      <c r="J8" s="3">
        <f>IF(I8="","",I8-G8)</f>
        <v/>
      </c>
      <c r="K8" s="5">
        <f>IF(G8=0,"",IF(J8="","",(J8/G8)*100))</f>
        <v/>
      </c>
    </row>
    <row r="9">
      <c r="B9">
        <f>IF(A9="","",IFERROR(INDEX(Transactions!C:C,MATCH(A9,Transactions!B:B,0)),""))</f>
        <v/>
      </c>
      <c r="C9">
        <f>IF(A9="","",SUMIFS(Transactions!E:E,Transactions!B:B,A9,Transactions!D:D,"BUY"))</f>
        <v/>
      </c>
      <c r="D9">
        <f>IF(A9="","",SUMIFS(Transactions!E:E,Transactions!B:B,A9,Transactions!D:D,"SELL"))</f>
        <v/>
      </c>
      <c r="E9">
        <f>IF(A9="","",C9-D9)</f>
        <v/>
      </c>
      <c r="F9" s="3">
        <f>IF(C9=0,"",SUMIFS(Transactions!I:I,Transactions!B:B,A9,Transactions!D:D,"BUY")/C9)</f>
        <v/>
      </c>
      <c r="G9" s="3">
        <f>IF(E9="","",E9*F9)</f>
        <v/>
      </c>
      <c r="H9" s="3" t="n"/>
      <c r="I9" s="3">
        <f>IF(E9="","",IF(H9="","",E9*H9))</f>
        <v/>
      </c>
      <c r="J9" s="3">
        <f>IF(I9="","",I9-G9)</f>
        <v/>
      </c>
      <c r="K9" s="5">
        <f>IF(G9=0,"",IF(J9="","",(J9/G9)*100))</f>
        <v/>
      </c>
    </row>
    <row r="10">
      <c r="B10">
        <f>IF(A10="","",IFERROR(INDEX(Transactions!C:C,MATCH(A10,Transactions!B:B,0)),""))</f>
        <v/>
      </c>
      <c r="C10">
        <f>IF(A10="","",SUMIFS(Transactions!E:E,Transactions!B:B,A10,Transactions!D:D,"BUY"))</f>
        <v/>
      </c>
      <c r="D10">
        <f>IF(A10="","",SUMIFS(Transactions!E:E,Transactions!B:B,A10,Transactions!D:D,"SELL"))</f>
        <v/>
      </c>
      <c r="E10">
        <f>IF(A10="","",C10-D10)</f>
        <v/>
      </c>
      <c r="F10" s="3">
        <f>IF(C10=0,"",SUMIFS(Transactions!I:I,Transactions!B:B,A10,Transactions!D:D,"BUY")/C10)</f>
        <v/>
      </c>
      <c r="G10" s="3">
        <f>IF(E10="","",E10*F10)</f>
        <v/>
      </c>
      <c r="H10" s="3" t="n"/>
      <c r="I10" s="3">
        <f>IF(E10="","",IF(H10="","",E10*H10))</f>
        <v/>
      </c>
      <c r="J10" s="3">
        <f>IF(I10="","",I10-G10)</f>
        <v/>
      </c>
      <c r="K10" s="5">
        <f>IF(G10=0,"",IF(J10="","",(J10/G10)*100))</f>
        <v/>
      </c>
    </row>
    <row r="11">
      <c r="B11">
        <f>IF(A11="","",IFERROR(INDEX(Transactions!C:C,MATCH(A11,Transactions!B:B,0)),""))</f>
        <v/>
      </c>
      <c r="C11">
        <f>IF(A11="","",SUMIFS(Transactions!E:E,Transactions!B:B,A11,Transactions!D:D,"BUY"))</f>
        <v/>
      </c>
      <c r="D11">
        <f>IF(A11="","",SUMIFS(Transactions!E:E,Transactions!B:B,A11,Transactions!D:D,"SELL"))</f>
        <v/>
      </c>
      <c r="E11">
        <f>IF(A11="","",C11-D11)</f>
        <v/>
      </c>
      <c r="F11" s="3">
        <f>IF(C11=0,"",SUMIFS(Transactions!I:I,Transactions!B:B,A11,Transactions!D:D,"BUY")/C11)</f>
        <v/>
      </c>
      <c r="G11" s="3">
        <f>IF(E11="","",E11*F11)</f>
        <v/>
      </c>
      <c r="H11" s="3" t="n"/>
      <c r="I11" s="3">
        <f>IF(E11="","",IF(H11="","",E11*H11))</f>
        <v/>
      </c>
      <c r="J11" s="3">
        <f>IF(I11="","",I11-G11)</f>
        <v/>
      </c>
      <c r="K11" s="5">
        <f>IF(G11=0,"",IF(J11="","",(J11/G11)*100))</f>
        <v/>
      </c>
    </row>
    <row r="12">
      <c r="B12">
        <f>IF(A12="","",IFERROR(INDEX(Transactions!C:C,MATCH(A12,Transactions!B:B,0)),""))</f>
        <v/>
      </c>
      <c r="C12">
        <f>IF(A12="","",SUMIFS(Transactions!E:E,Transactions!B:B,A12,Transactions!D:D,"BUY"))</f>
        <v/>
      </c>
      <c r="D12">
        <f>IF(A12="","",SUMIFS(Transactions!E:E,Transactions!B:B,A12,Transactions!D:D,"SELL"))</f>
        <v/>
      </c>
      <c r="E12">
        <f>IF(A12="","",C12-D12)</f>
        <v/>
      </c>
      <c r="F12" s="3">
        <f>IF(C12=0,"",SUMIFS(Transactions!I:I,Transactions!B:B,A12,Transactions!D:D,"BUY")/C12)</f>
        <v/>
      </c>
      <c r="G12" s="3">
        <f>IF(E12="","",E12*F12)</f>
        <v/>
      </c>
      <c r="H12" s="3" t="n"/>
      <c r="I12" s="3">
        <f>IF(E12="","",IF(H12="","",E12*H12))</f>
        <v/>
      </c>
      <c r="J12" s="3">
        <f>IF(I12="","",I12-G12)</f>
        <v/>
      </c>
      <c r="K12" s="5">
        <f>IF(G12=0,"",IF(J12="","",(J12/G12)*100))</f>
        <v/>
      </c>
    </row>
    <row r="13">
      <c r="B13">
        <f>IF(A13="","",IFERROR(INDEX(Transactions!C:C,MATCH(A13,Transactions!B:B,0)),""))</f>
        <v/>
      </c>
      <c r="C13">
        <f>IF(A13="","",SUMIFS(Transactions!E:E,Transactions!B:B,A13,Transactions!D:D,"BUY"))</f>
        <v/>
      </c>
      <c r="D13">
        <f>IF(A13="","",SUMIFS(Transactions!E:E,Transactions!B:B,A13,Transactions!D:D,"SELL"))</f>
        <v/>
      </c>
      <c r="E13">
        <f>IF(A13="","",C13-D13)</f>
        <v/>
      </c>
      <c r="F13" s="3">
        <f>IF(C13=0,"",SUMIFS(Transactions!I:I,Transactions!B:B,A13,Transactions!D:D,"BUY")/C13)</f>
        <v/>
      </c>
      <c r="G13" s="3">
        <f>IF(E13="","",E13*F13)</f>
        <v/>
      </c>
      <c r="H13" s="3" t="n"/>
      <c r="I13" s="3">
        <f>IF(E13="","",IF(H13="","",E13*H13))</f>
        <v/>
      </c>
      <c r="J13" s="3">
        <f>IF(I13="","",I13-G13)</f>
        <v/>
      </c>
      <c r="K13" s="5">
        <f>IF(G13=0,"",IF(J13="","",(J13/G13)*100))</f>
        <v/>
      </c>
    </row>
    <row r="14">
      <c r="B14">
        <f>IF(A14="","",IFERROR(INDEX(Transactions!C:C,MATCH(A14,Transactions!B:B,0)),""))</f>
        <v/>
      </c>
      <c r="C14">
        <f>IF(A14="","",SUMIFS(Transactions!E:E,Transactions!B:B,A14,Transactions!D:D,"BUY"))</f>
        <v/>
      </c>
      <c r="D14">
        <f>IF(A14="","",SUMIFS(Transactions!E:E,Transactions!B:B,A14,Transactions!D:D,"SELL"))</f>
        <v/>
      </c>
      <c r="E14">
        <f>IF(A14="","",C14-D14)</f>
        <v/>
      </c>
      <c r="F14" s="3">
        <f>IF(C14=0,"",SUMIFS(Transactions!I:I,Transactions!B:B,A14,Transactions!D:D,"BUY")/C14)</f>
        <v/>
      </c>
      <c r="G14" s="3">
        <f>IF(E14="","",E14*F14)</f>
        <v/>
      </c>
      <c r="H14" s="3" t="n"/>
      <c r="I14" s="3">
        <f>IF(E14="","",IF(H14="","",E14*H14))</f>
        <v/>
      </c>
      <c r="J14" s="3">
        <f>IF(I14="","",I14-G14)</f>
        <v/>
      </c>
      <c r="K14" s="5">
        <f>IF(G14=0,"",IF(J14="","",(J14/G14)*100))</f>
        <v/>
      </c>
    </row>
    <row r="15">
      <c r="B15">
        <f>IF(A15="","",IFERROR(INDEX(Transactions!C:C,MATCH(A15,Transactions!B:B,0)),""))</f>
        <v/>
      </c>
      <c r="C15">
        <f>IF(A15="","",SUMIFS(Transactions!E:E,Transactions!B:B,A15,Transactions!D:D,"BUY"))</f>
        <v/>
      </c>
      <c r="D15">
        <f>IF(A15="","",SUMIFS(Transactions!E:E,Transactions!B:B,A15,Transactions!D:D,"SELL"))</f>
        <v/>
      </c>
      <c r="E15">
        <f>IF(A15="","",C15-D15)</f>
        <v/>
      </c>
      <c r="F15" s="3">
        <f>IF(C15=0,"",SUMIFS(Transactions!I:I,Transactions!B:B,A15,Transactions!D:D,"BUY")/C15)</f>
        <v/>
      </c>
      <c r="G15" s="3">
        <f>IF(E15="","",E15*F15)</f>
        <v/>
      </c>
      <c r="H15" s="3" t="n"/>
      <c r="I15" s="3">
        <f>IF(E15="","",IF(H15="","",E15*H15))</f>
        <v/>
      </c>
      <c r="J15" s="3">
        <f>IF(I15="","",I15-G15)</f>
        <v/>
      </c>
      <c r="K15" s="5">
        <f>IF(G15=0,"",IF(J15="","",(J15/G15)*100))</f>
        <v/>
      </c>
    </row>
    <row r="16">
      <c r="B16">
        <f>IF(A16="","",IFERROR(INDEX(Transactions!C:C,MATCH(A16,Transactions!B:B,0)),""))</f>
        <v/>
      </c>
      <c r="C16">
        <f>IF(A16="","",SUMIFS(Transactions!E:E,Transactions!B:B,A16,Transactions!D:D,"BUY"))</f>
        <v/>
      </c>
      <c r="D16">
        <f>IF(A16="","",SUMIFS(Transactions!E:E,Transactions!B:B,A16,Transactions!D:D,"SELL"))</f>
        <v/>
      </c>
      <c r="E16">
        <f>IF(A16="","",C16-D16)</f>
        <v/>
      </c>
      <c r="F16" s="3">
        <f>IF(C16=0,"",SUMIFS(Transactions!I:I,Transactions!B:B,A16,Transactions!D:D,"BUY")/C16)</f>
        <v/>
      </c>
      <c r="G16" s="3">
        <f>IF(E16="","",E16*F16)</f>
        <v/>
      </c>
      <c r="H16" s="3" t="n"/>
      <c r="I16" s="3">
        <f>IF(E16="","",IF(H16="","",E16*H16))</f>
        <v/>
      </c>
      <c r="J16" s="3">
        <f>IF(I16="","",I16-G16)</f>
        <v/>
      </c>
      <c r="K16" s="5">
        <f>IF(G16=0,"",IF(J16="","",(J16/G16)*100))</f>
        <v/>
      </c>
    </row>
    <row r="17">
      <c r="B17">
        <f>IF(A17="","",IFERROR(INDEX(Transactions!C:C,MATCH(A17,Transactions!B:B,0)),""))</f>
        <v/>
      </c>
      <c r="C17">
        <f>IF(A17="","",SUMIFS(Transactions!E:E,Transactions!B:B,A17,Transactions!D:D,"BUY"))</f>
        <v/>
      </c>
      <c r="D17">
        <f>IF(A17="","",SUMIFS(Transactions!E:E,Transactions!B:B,A17,Transactions!D:D,"SELL"))</f>
        <v/>
      </c>
      <c r="E17">
        <f>IF(A17="","",C17-D17)</f>
        <v/>
      </c>
      <c r="F17" s="3">
        <f>IF(C17=0,"",SUMIFS(Transactions!I:I,Transactions!B:B,A17,Transactions!D:D,"BUY")/C17)</f>
        <v/>
      </c>
      <c r="G17" s="3">
        <f>IF(E17="","",E17*F17)</f>
        <v/>
      </c>
      <c r="H17" s="3" t="n"/>
      <c r="I17" s="3">
        <f>IF(E17="","",IF(H17="","",E17*H17))</f>
        <v/>
      </c>
      <c r="J17" s="3">
        <f>IF(I17="","",I17-G17)</f>
        <v/>
      </c>
      <c r="K17" s="5">
        <f>IF(G17=0,"",IF(J17="","",(J17/G17)*100))</f>
        <v/>
      </c>
    </row>
    <row r="18">
      <c r="B18">
        <f>IF(A18="","",IFERROR(INDEX(Transactions!C:C,MATCH(A18,Transactions!B:B,0)),""))</f>
        <v/>
      </c>
      <c r="C18">
        <f>IF(A18="","",SUMIFS(Transactions!E:E,Transactions!B:B,A18,Transactions!D:D,"BUY"))</f>
        <v/>
      </c>
      <c r="D18">
        <f>IF(A18="","",SUMIFS(Transactions!E:E,Transactions!B:B,A18,Transactions!D:D,"SELL"))</f>
        <v/>
      </c>
      <c r="E18">
        <f>IF(A18="","",C18-D18)</f>
        <v/>
      </c>
      <c r="F18" s="3">
        <f>IF(C18=0,"",SUMIFS(Transactions!I:I,Transactions!B:B,A18,Transactions!D:D,"BUY")/C18)</f>
        <v/>
      </c>
      <c r="G18" s="3">
        <f>IF(E18="","",E18*F18)</f>
        <v/>
      </c>
      <c r="H18" s="3" t="n"/>
      <c r="I18" s="3">
        <f>IF(E18="","",IF(H18="","",E18*H18))</f>
        <v/>
      </c>
      <c r="J18" s="3">
        <f>IF(I18="","",I18-G18)</f>
        <v/>
      </c>
      <c r="K18" s="5">
        <f>IF(G18=0,"",IF(J18="","",(J18/G18)*100))</f>
        <v/>
      </c>
    </row>
    <row r="19">
      <c r="B19">
        <f>IF(A19="","",IFERROR(INDEX(Transactions!C:C,MATCH(A19,Transactions!B:B,0)),""))</f>
        <v/>
      </c>
      <c r="C19">
        <f>IF(A19="","",SUMIFS(Transactions!E:E,Transactions!B:B,A19,Transactions!D:D,"BUY"))</f>
        <v/>
      </c>
      <c r="D19">
        <f>IF(A19="","",SUMIFS(Transactions!E:E,Transactions!B:B,A19,Transactions!D:D,"SELL"))</f>
        <v/>
      </c>
      <c r="E19">
        <f>IF(A19="","",C19-D19)</f>
        <v/>
      </c>
      <c r="F19" s="3">
        <f>IF(C19=0,"",SUMIFS(Transactions!I:I,Transactions!B:B,A19,Transactions!D:D,"BUY")/C19)</f>
        <v/>
      </c>
      <c r="G19" s="3">
        <f>IF(E19="","",E19*F19)</f>
        <v/>
      </c>
      <c r="H19" s="3" t="n"/>
      <c r="I19" s="3">
        <f>IF(E19="","",IF(H19="","",E19*H19))</f>
        <v/>
      </c>
      <c r="J19" s="3">
        <f>IF(I19="","",I19-G19)</f>
        <v/>
      </c>
      <c r="K19" s="5">
        <f>IF(G19=0,"",IF(J19="","",(J19/G19)*100))</f>
        <v/>
      </c>
    </row>
    <row r="20">
      <c r="B20">
        <f>IF(A20="","",IFERROR(INDEX(Transactions!C:C,MATCH(A20,Transactions!B:B,0)),""))</f>
        <v/>
      </c>
      <c r="C20">
        <f>IF(A20="","",SUMIFS(Transactions!E:E,Transactions!B:B,A20,Transactions!D:D,"BUY"))</f>
        <v/>
      </c>
      <c r="D20">
        <f>IF(A20="","",SUMIFS(Transactions!E:E,Transactions!B:B,A20,Transactions!D:D,"SELL"))</f>
        <v/>
      </c>
      <c r="E20">
        <f>IF(A20="","",C20-D20)</f>
        <v/>
      </c>
      <c r="F20" s="3">
        <f>IF(C20=0,"",SUMIFS(Transactions!I:I,Transactions!B:B,A20,Transactions!D:D,"BUY")/C20)</f>
        <v/>
      </c>
      <c r="G20" s="3">
        <f>IF(E20="","",E20*F20)</f>
        <v/>
      </c>
      <c r="H20" s="3" t="n"/>
      <c r="I20" s="3">
        <f>IF(E20="","",IF(H20="","",E20*H20))</f>
        <v/>
      </c>
      <c r="J20" s="3">
        <f>IF(I20="","",I20-G20)</f>
        <v/>
      </c>
      <c r="K20" s="5">
        <f>IF(G20=0,"",IF(J20="","",(J20/G20)*100))</f>
        <v/>
      </c>
    </row>
    <row r="21">
      <c r="B21">
        <f>IF(A21="","",IFERROR(INDEX(Transactions!C:C,MATCH(A21,Transactions!B:B,0)),""))</f>
        <v/>
      </c>
      <c r="C21">
        <f>IF(A21="","",SUMIFS(Transactions!E:E,Transactions!B:B,A21,Transactions!D:D,"BUY"))</f>
        <v/>
      </c>
      <c r="D21">
        <f>IF(A21="","",SUMIFS(Transactions!E:E,Transactions!B:B,A21,Transactions!D:D,"SELL"))</f>
        <v/>
      </c>
      <c r="E21">
        <f>IF(A21="","",C21-D21)</f>
        <v/>
      </c>
      <c r="F21" s="3">
        <f>IF(C21=0,"",SUMIFS(Transactions!I:I,Transactions!B:B,A21,Transactions!D:D,"BUY")/C21)</f>
        <v/>
      </c>
      <c r="G21" s="3">
        <f>IF(E21="","",E21*F21)</f>
        <v/>
      </c>
      <c r="H21" s="3" t="n"/>
      <c r="I21" s="3">
        <f>IF(E21="","",IF(H21="","",E21*H21))</f>
        <v/>
      </c>
      <c r="J21" s="3">
        <f>IF(I21="","",I21-G21)</f>
        <v/>
      </c>
      <c r="K21" s="5">
        <f>IF(G21=0,"",IF(J21="","",(J21/G21)*100))</f>
        <v/>
      </c>
    </row>
    <row r="22">
      <c r="B22">
        <f>IF(A22="","",IFERROR(INDEX(Transactions!C:C,MATCH(A22,Transactions!B:B,0)),""))</f>
        <v/>
      </c>
      <c r="C22">
        <f>IF(A22="","",SUMIFS(Transactions!E:E,Transactions!B:B,A22,Transactions!D:D,"BUY"))</f>
        <v/>
      </c>
      <c r="D22">
        <f>IF(A22="","",SUMIFS(Transactions!E:E,Transactions!B:B,A22,Transactions!D:D,"SELL"))</f>
        <v/>
      </c>
      <c r="E22">
        <f>IF(A22="","",C22-D22)</f>
        <v/>
      </c>
      <c r="F22" s="3">
        <f>IF(C22=0,"",SUMIFS(Transactions!I:I,Transactions!B:B,A22,Transactions!D:D,"BUY")/C22)</f>
        <v/>
      </c>
      <c r="G22" s="3">
        <f>IF(E22="","",E22*F22)</f>
        <v/>
      </c>
      <c r="H22" s="3" t="n"/>
      <c r="I22" s="3">
        <f>IF(E22="","",IF(H22="","",E22*H22))</f>
        <v/>
      </c>
      <c r="J22" s="3">
        <f>IF(I22="","",I22-G22)</f>
        <v/>
      </c>
      <c r="K22" s="5">
        <f>IF(G22=0,"",IF(J22="","",(J22/G22)*100))</f>
        <v/>
      </c>
    </row>
    <row r="23">
      <c r="B23">
        <f>IF(A23="","",IFERROR(INDEX(Transactions!C:C,MATCH(A23,Transactions!B:B,0)),""))</f>
        <v/>
      </c>
      <c r="C23">
        <f>IF(A23="","",SUMIFS(Transactions!E:E,Transactions!B:B,A23,Transactions!D:D,"BUY"))</f>
        <v/>
      </c>
      <c r="D23">
        <f>IF(A23="","",SUMIFS(Transactions!E:E,Transactions!B:B,A23,Transactions!D:D,"SELL"))</f>
        <v/>
      </c>
      <c r="E23">
        <f>IF(A23="","",C23-D23)</f>
        <v/>
      </c>
      <c r="F23" s="3">
        <f>IF(C23=0,"",SUMIFS(Transactions!I:I,Transactions!B:B,A23,Transactions!D:D,"BUY")/C23)</f>
        <v/>
      </c>
      <c r="G23" s="3">
        <f>IF(E23="","",E23*F23)</f>
        <v/>
      </c>
      <c r="H23" s="3" t="n"/>
      <c r="I23" s="3">
        <f>IF(E23="","",IF(H23="","",E23*H23))</f>
        <v/>
      </c>
      <c r="J23" s="3">
        <f>IF(I23="","",I23-G23)</f>
        <v/>
      </c>
      <c r="K23" s="5">
        <f>IF(G23=0,"",IF(J23="","",(J23/G23)*100))</f>
        <v/>
      </c>
    </row>
    <row r="24">
      <c r="B24">
        <f>IF(A24="","",IFERROR(INDEX(Transactions!C:C,MATCH(A24,Transactions!B:B,0)),""))</f>
        <v/>
      </c>
      <c r="C24">
        <f>IF(A24="","",SUMIFS(Transactions!E:E,Transactions!B:B,A24,Transactions!D:D,"BUY"))</f>
        <v/>
      </c>
      <c r="D24">
        <f>IF(A24="","",SUMIFS(Transactions!E:E,Transactions!B:B,A24,Transactions!D:D,"SELL"))</f>
        <v/>
      </c>
      <c r="E24">
        <f>IF(A24="","",C24-D24)</f>
        <v/>
      </c>
      <c r="F24" s="3">
        <f>IF(C24=0,"",SUMIFS(Transactions!I:I,Transactions!B:B,A24,Transactions!D:D,"BUY")/C24)</f>
        <v/>
      </c>
      <c r="G24" s="3">
        <f>IF(E24="","",E24*F24)</f>
        <v/>
      </c>
      <c r="H24" s="3" t="n"/>
      <c r="I24" s="3">
        <f>IF(E24="","",IF(H24="","",E24*H24))</f>
        <v/>
      </c>
      <c r="J24" s="3">
        <f>IF(I24="","",I24-G24)</f>
        <v/>
      </c>
      <c r="K24" s="5">
        <f>IF(G24=0,"",IF(J24="","",(J24/G24)*100))</f>
        <v/>
      </c>
    </row>
    <row r="25">
      <c r="B25">
        <f>IF(A25="","",IFERROR(INDEX(Transactions!C:C,MATCH(A25,Transactions!B:B,0)),""))</f>
        <v/>
      </c>
      <c r="C25">
        <f>IF(A25="","",SUMIFS(Transactions!E:E,Transactions!B:B,A25,Transactions!D:D,"BUY"))</f>
        <v/>
      </c>
      <c r="D25">
        <f>IF(A25="","",SUMIFS(Transactions!E:E,Transactions!B:B,A25,Transactions!D:D,"SELL"))</f>
        <v/>
      </c>
      <c r="E25">
        <f>IF(A25="","",C25-D25)</f>
        <v/>
      </c>
      <c r="F25" s="3">
        <f>IF(C25=0,"",SUMIFS(Transactions!I:I,Transactions!B:B,A25,Transactions!D:D,"BUY")/C25)</f>
        <v/>
      </c>
      <c r="G25" s="3">
        <f>IF(E25="","",E25*F25)</f>
        <v/>
      </c>
      <c r="H25" s="3" t="n"/>
      <c r="I25" s="3">
        <f>IF(E25="","",IF(H25="","",E25*H25))</f>
        <v/>
      </c>
      <c r="J25" s="3">
        <f>IF(I25="","",I25-G25)</f>
        <v/>
      </c>
      <c r="K25" s="5">
        <f>IF(G25=0,"",IF(J25="","",(J25/G25)*100))</f>
        <v/>
      </c>
    </row>
    <row r="26">
      <c r="B26">
        <f>IF(A26="","",IFERROR(INDEX(Transactions!C:C,MATCH(A26,Transactions!B:B,0)),""))</f>
        <v/>
      </c>
      <c r="C26">
        <f>IF(A26="","",SUMIFS(Transactions!E:E,Transactions!B:B,A26,Transactions!D:D,"BUY"))</f>
        <v/>
      </c>
      <c r="D26">
        <f>IF(A26="","",SUMIFS(Transactions!E:E,Transactions!B:B,A26,Transactions!D:D,"SELL"))</f>
        <v/>
      </c>
      <c r="E26">
        <f>IF(A26="","",C26-D26)</f>
        <v/>
      </c>
      <c r="F26" s="3">
        <f>IF(C26=0,"",SUMIFS(Transactions!I:I,Transactions!B:B,A26,Transactions!D:D,"BUY")/C26)</f>
        <v/>
      </c>
      <c r="G26" s="3">
        <f>IF(E26="","",E26*F26)</f>
        <v/>
      </c>
      <c r="H26" s="3" t="n"/>
      <c r="I26" s="3">
        <f>IF(E26="","",IF(H26="","",E26*H26))</f>
        <v/>
      </c>
      <c r="J26" s="3">
        <f>IF(I26="","",I26-G26)</f>
        <v/>
      </c>
      <c r="K26" s="5">
        <f>IF(G26=0,"",IF(J26="","",(J26/G26)*100))</f>
        <v/>
      </c>
    </row>
    <row r="27">
      <c r="B27">
        <f>IF(A27="","",IFERROR(INDEX(Transactions!C:C,MATCH(A27,Transactions!B:B,0)),""))</f>
        <v/>
      </c>
      <c r="C27">
        <f>IF(A27="","",SUMIFS(Transactions!E:E,Transactions!B:B,A27,Transactions!D:D,"BUY"))</f>
        <v/>
      </c>
      <c r="D27">
        <f>IF(A27="","",SUMIFS(Transactions!E:E,Transactions!B:B,A27,Transactions!D:D,"SELL"))</f>
        <v/>
      </c>
      <c r="E27">
        <f>IF(A27="","",C27-D27)</f>
        <v/>
      </c>
      <c r="F27" s="3">
        <f>IF(C27=0,"",SUMIFS(Transactions!I:I,Transactions!B:B,A27,Transactions!D:D,"BUY")/C27)</f>
        <v/>
      </c>
      <c r="G27" s="3">
        <f>IF(E27="","",E27*F27)</f>
        <v/>
      </c>
      <c r="H27" s="3" t="n"/>
      <c r="I27" s="3">
        <f>IF(E27="","",IF(H27="","",E27*H27))</f>
        <v/>
      </c>
      <c r="J27" s="3">
        <f>IF(I27="","",I27-G27)</f>
        <v/>
      </c>
      <c r="K27" s="5">
        <f>IF(G27=0,"",IF(J27="","",(J27/G27)*100))</f>
        <v/>
      </c>
    </row>
    <row r="28">
      <c r="B28">
        <f>IF(A28="","",IFERROR(INDEX(Transactions!C:C,MATCH(A28,Transactions!B:B,0)),""))</f>
        <v/>
      </c>
      <c r="C28">
        <f>IF(A28="","",SUMIFS(Transactions!E:E,Transactions!B:B,A28,Transactions!D:D,"BUY"))</f>
        <v/>
      </c>
      <c r="D28">
        <f>IF(A28="","",SUMIFS(Transactions!E:E,Transactions!B:B,A28,Transactions!D:D,"SELL"))</f>
        <v/>
      </c>
      <c r="E28">
        <f>IF(A28="","",C28-D28)</f>
        <v/>
      </c>
      <c r="F28" s="3">
        <f>IF(C28=0,"",SUMIFS(Transactions!I:I,Transactions!B:B,A28,Transactions!D:D,"BUY")/C28)</f>
        <v/>
      </c>
      <c r="G28" s="3">
        <f>IF(E28="","",E28*F28)</f>
        <v/>
      </c>
      <c r="H28" s="3" t="n"/>
      <c r="I28" s="3">
        <f>IF(E28="","",IF(H28="","",E28*H28))</f>
        <v/>
      </c>
      <c r="J28" s="3">
        <f>IF(I28="","",I28-G28)</f>
        <v/>
      </c>
      <c r="K28" s="5">
        <f>IF(G28=0,"",IF(J28="","",(J28/G28)*100))</f>
        <v/>
      </c>
    </row>
    <row r="29">
      <c r="B29">
        <f>IF(A29="","",IFERROR(INDEX(Transactions!C:C,MATCH(A29,Transactions!B:B,0)),""))</f>
        <v/>
      </c>
      <c r="C29">
        <f>IF(A29="","",SUMIFS(Transactions!E:E,Transactions!B:B,A29,Transactions!D:D,"BUY"))</f>
        <v/>
      </c>
      <c r="D29">
        <f>IF(A29="","",SUMIFS(Transactions!E:E,Transactions!B:B,A29,Transactions!D:D,"SELL"))</f>
        <v/>
      </c>
      <c r="E29">
        <f>IF(A29="","",C29-D29)</f>
        <v/>
      </c>
      <c r="F29" s="3">
        <f>IF(C29=0,"",SUMIFS(Transactions!I:I,Transactions!B:B,A29,Transactions!D:D,"BUY")/C29)</f>
        <v/>
      </c>
      <c r="G29" s="3">
        <f>IF(E29="","",E29*F29)</f>
        <v/>
      </c>
      <c r="H29" s="3" t="n"/>
      <c r="I29" s="3">
        <f>IF(E29="","",IF(H29="","",E29*H29))</f>
        <v/>
      </c>
      <c r="J29" s="3">
        <f>IF(I29="","",I29-G29)</f>
        <v/>
      </c>
      <c r="K29" s="5">
        <f>IF(G29=0,"",IF(J29="","",(J29/G29)*100))</f>
        <v/>
      </c>
    </row>
    <row r="30">
      <c r="B30">
        <f>IF(A30="","",IFERROR(INDEX(Transactions!C:C,MATCH(A30,Transactions!B:B,0)),""))</f>
        <v/>
      </c>
      <c r="C30">
        <f>IF(A30="","",SUMIFS(Transactions!E:E,Transactions!B:B,A30,Transactions!D:D,"BUY"))</f>
        <v/>
      </c>
      <c r="D30">
        <f>IF(A30="","",SUMIFS(Transactions!E:E,Transactions!B:B,A30,Transactions!D:D,"SELL"))</f>
        <v/>
      </c>
      <c r="E30">
        <f>IF(A30="","",C30-D30)</f>
        <v/>
      </c>
      <c r="F30" s="3">
        <f>IF(C30=0,"",SUMIFS(Transactions!I:I,Transactions!B:B,A30,Transactions!D:D,"BUY")/C30)</f>
        <v/>
      </c>
      <c r="G30" s="3">
        <f>IF(E30="","",E30*F30)</f>
        <v/>
      </c>
      <c r="H30" s="3" t="n"/>
      <c r="I30" s="3">
        <f>IF(E30="","",IF(H30="","",E30*H30))</f>
        <v/>
      </c>
      <c r="J30" s="3">
        <f>IF(I30="","",I30-G30)</f>
        <v/>
      </c>
      <c r="K30" s="5">
        <f>IF(G30=0,"",IF(J30="","",(J30/G30)*100))</f>
        <v/>
      </c>
    </row>
    <row r="31">
      <c r="B31">
        <f>IF(A31="","",IFERROR(INDEX(Transactions!C:C,MATCH(A31,Transactions!B:B,0)),""))</f>
        <v/>
      </c>
      <c r="C31">
        <f>IF(A31="","",SUMIFS(Transactions!E:E,Transactions!B:B,A31,Transactions!D:D,"BUY"))</f>
        <v/>
      </c>
      <c r="D31">
        <f>IF(A31="","",SUMIFS(Transactions!E:E,Transactions!B:B,A31,Transactions!D:D,"SELL"))</f>
        <v/>
      </c>
      <c r="E31">
        <f>IF(A31="","",C31-D31)</f>
        <v/>
      </c>
      <c r="F31" s="3">
        <f>IF(C31=0,"",SUMIFS(Transactions!I:I,Transactions!B:B,A31,Transactions!D:D,"BUY")/C31)</f>
        <v/>
      </c>
      <c r="G31" s="3">
        <f>IF(E31="","",E31*F31)</f>
        <v/>
      </c>
      <c r="H31" s="3" t="n"/>
      <c r="I31" s="3">
        <f>IF(E31="","",IF(H31="","",E31*H31))</f>
        <v/>
      </c>
      <c r="J31" s="3">
        <f>IF(I31="","",I31-G31)</f>
        <v/>
      </c>
      <c r="K31" s="5">
        <f>IF(G31=0,"",IF(J31="","",(J31/G31)*100))</f>
        <v/>
      </c>
    </row>
    <row r="32">
      <c r="B32">
        <f>IF(A32="","",IFERROR(INDEX(Transactions!C:C,MATCH(A32,Transactions!B:B,0)),""))</f>
        <v/>
      </c>
      <c r="C32">
        <f>IF(A32="","",SUMIFS(Transactions!E:E,Transactions!B:B,A32,Transactions!D:D,"BUY"))</f>
        <v/>
      </c>
      <c r="D32">
        <f>IF(A32="","",SUMIFS(Transactions!E:E,Transactions!B:B,A32,Transactions!D:D,"SELL"))</f>
        <v/>
      </c>
      <c r="E32">
        <f>IF(A32="","",C32-D32)</f>
        <v/>
      </c>
      <c r="F32" s="3">
        <f>IF(C32=0,"",SUMIFS(Transactions!I:I,Transactions!B:B,A32,Transactions!D:D,"BUY")/C32)</f>
        <v/>
      </c>
      <c r="G32" s="3">
        <f>IF(E32="","",E32*F32)</f>
        <v/>
      </c>
      <c r="H32" s="3" t="n"/>
      <c r="I32" s="3">
        <f>IF(E32="","",IF(H32="","",E32*H32))</f>
        <v/>
      </c>
      <c r="J32" s="3">
        <f>IF(I32="","",I32-G32)</f>
        <v/>
      </c>
      <c r="K32" s="5">
        <f>IF(G32=0,"",IF(J32="","",(J32/G32)*100))</f>
        <v/>
      </c>
    </row>
    <row r="33">
      <c r="B33">
        <f>IF(A33="","",IFERROR(INDEX(Transactions!C:C,MATCH(A33,Transactions!B:B,0)),""))</f>
        <v/>
      </c>
      <c r="C33">
        <f>IF(A33="","",SUMIFS(Transactions!E:E,Transactions!B:B,A33,Transactions!D:D,"BUY"))</f>
        <v/>
      </c>
      <c r="D33">
        <f>IF(A33="","",SUMIFS(Transactions!E:E,Transactions!B:B,A33,Transactions!D:D,"SELL"))</f>
        <v/>
      </c>
      <c r="E33">
        <f>IF(A33="","",C33-D33)</f>
        <v/>
      </c>
      <c r="F33" s="3">
        <f>IF(C33=0,"",SUMIFS(Transactions!I:I,Transactions!B:B,A33,Transactions!D:D,"BUY")/C33)</f>
        <v/>
      </c>
      <c r="G33" s="3">
        <f>IF(E33="","",E33*F33)</f>
        <v/>
      </c>
      <c r="H33" s="3" t="n"/>
      <c r="I33" s="3">
        <f>IF(E33="","",IF(H33="","",E33*H33))</f>
        <v/>
      </c>
      <c r="J33" s="3">
        <f>IF(I33="","",I33-G33)</f>
        <v/>
      </c>
      <c r="K33" s="5">
        <f>IF(G33=0,"",IF(J33="","",(J33/G33)*100))</f>
        <v/>
      </c>
    </row>
    <row r="34">
      <c r="B34">
        <f>IF(A34="","",IFERROR(INDEX(Transactions!C:C,MATCH(A34,Transactions!B:B,0)),""))</f>
        <v/>
      </c>
      <c r="C34">
        <f>IF(A34="","",SUMIFS(Transactions!E:E,Transactions!B:B,A34,Transactions!D:D,"BUY"))</f>
        <v/>
      </c>
      <c r="D34">
        <f>IF(A34="","",SUMIFS(Transactions!E:E,Transactions!B:B,A34,Transactions!D:D,"SELL"))</f>
        <v/>
      </c>
      <c r="E34">
        <f>IF(A34="","",C34-D34)</f>
        <v/>
      </c>
      <c r="F34" s="3">
        <f>IF(C34=0,"",SUMIFS(Transactions!I:I,Transactions!B:B,A34,Transactions!D:D,"BUY")/C34)</f>
        <v/>
      </c>
      <c r="G34" s="3">
        <f>IF(E34="","",E34*F34)</f>
        <v/>
      </c>
      <c r="H34" s="3" t="n"/>
      <c r="I34" s="3">
        <f>IF(E34="","",IF(H34="","",E34*H34))</f>
        <v/>
      </c>
      <c r="J34" s="3">
        <f>IF(I34="","",I34-G34)</f>
        <v/>
      </c>
      <c r="K34" s="5">
        <f>IF(G34=0,"",IF(J34="","",(J34/G34)*100))</f>
        <v/>
      </c>
    </row>
    <row r="35">
      <c r="B35">
        <f>IF(A35="","",IFERROR(INDEX(Transactions!C:C,MATCH(A35,Transactions!B:B,0)),""))</f>
        <v/>
      </c>
      <c r="C35">
        <f>IF(A35="","",SUMIFS(Transactions!E:E,Transactions!B:B,A35,Transactions!D:D,"BUY"))</f>
        <v/>
      </c>
      <c r="D35">
        <f>IF(A35="","",SUMIFS(Transactions!E:E,Transactions!B:B,A35,Transactions!D:D,"SELL"))</f>
        <v/>
      </c>
      <c r="E35">
        <f>IF(A35="","",C35-D35)</f>
        <v/>
      </c>
      <c r="F35" s="3">
        <f>IF(C35=0,"",SUMIFS(Transactions!I:I,Transactions!B:B,A35,Transactions!D:D,"BUY")/C35)</f>
        <v/>
      </c>
      <c r="G35" s="3">
        <f>IF(E35="","",E35*F35)</f>
        <v/>
      </c>
      <c r="H35" s="3" t="n"/>
      <c r="I35" s="3">
        <f>IF(E35="","",IF(H35="","",E35*H35))</f>
        <v/>
      </c>
      <c r="J35" s="3">
        <f>IF(I35="","",I35-G35)</f>
        <v/>
      </c>
      <c r="K35" s="5">
        <f>IF(G35=0,"",IF(J35="","",(J35/G35)*100))</f>
        <v/>
      </c>
    </row>
    <row r="36">
      <c r="B36">
        <f>IF(A36="","",IFERROR(INDEX(Transactions!C:C,MATCH(A36,Transactions!B:B,0)),""))</f>
        <v/>
      </c>
      <c r="C36">
        <f>IF(A36="","",SUMIFS(Transactions!E:E,Transactions!B:B,A36,Transactions!D:D,"BUY"))</f>
        <v/>
      </c>
      <c r="D36">
        <f>IF(A36="","",SUMIFS(Transactions!E:E,Transactions!B:B,A36,Transactions!D:D,"SELL"))</f>
        <v/>
      </c>
      <c r="E36">
        <f>IF(A36="","",C36-D36)</f>
        <v/>
      </c>
      <c r="F36" s="3">
        <f>IF(C36=0,"",SUMIFS(Transactions!I:I,Transactions!B:B,A36,Transactions!D:D,"BUY")/C36)</f>
        <v/>
      </c>
      <c r="G36" s="3">
        <f>IF(E36="","",E36*F36)</f>
        <v/>
      </c>
      <c r="H36" s="3" t="n"/>
      <c r="I36" s="3">
        <f>IF(E36="","",IF(H36="","",E36*H36))</f>
        <v/>
      </c>
      <c r="J36" s="3">
        <f>IF(I36="","",I36-G36)</f>
        <v/>
      </c>
      <c r="K36" s="5">
        <f>IF(G36=0,"",IF(J36="","",(J36/G36)*100))</f>
        <v/>
      </c>
    </row>
    <row r="37">
      <c r="B37">
        <f>IF(A37="","",IFERROR(INDEX(Transactions!C:C,MATCH(A37,Transactions!B:B,0)),""))</f>
        <v/>
      </c>
      <c r="C37">
        <f>IF(A37="","",SUMIFS(Transactions!E:E,Transactions!B:B,A37,Transactions!D:D,"BUY"))</f>
        <v/>
      </c>
      <c r="D37">
        <f>IF(A37="","",SUMIFS(Transactions!E:E,Transactions!B:B,A37,Transactions!D:D,"SELL"))</f>
        <v/>
      </c>
      <c r="E37">
        <f>IF(A37="","",C37-D37)</f>
        <v/>
      </c>
      <c r="F37" s="3">
        <f>IF(C37=0,"",SUMIFS(Transactions!I:I,Transactions!B:B,A37,Transactions!D:D,"BUY")/C37)</f>
        <v/>
      </c>
      <c r="G37" s="3">
        <f>IF(E37="","",E37*F37)</f>
        <v/>
      </c>
      <c r="H37" s="3" t="n"/>
      <c r="I37" s="3">
        <f>IF(E37="","",IF(H37="","",E37*H37))</f>
        <v/>
      </c>
      <c r="J37" s="3">
        <f>IF(I37="","",I37-G37)</f>
        <v/>
      </c>
      <c r="K37" s="5">
        <f>IF(G37=0,"",IF(J37="","",(J37/G37)*100))</f>
        <v/>
      </c>
    </row>
    <row r="38">
      <c r="B38">
        <f>IF(A38="","",IFERROR(INDEX(Transactions!C:C,MATCH(A38,Transactions!B:B,0)),""))</f>
        <v/>
      </c>
      <c r="C38">
        <f>IF(A38="","",SUMIFS(Transactions!E:E,Transactions!B:B,A38,Transactions!D:D,"BUY"))</f>
        <v/>
      </c>
      <c r="D38">
        <f>IF(A38="","",SUMIFS(Transactions!E:E,Transactions!B:B,A38,Transactions!D:D,"SELL"))</f>
        <v/>
      </c>
      <c r="E38">
        <f>IF(A38="","",C38-D38)</f>
        <v/>
      </c>
      <c r="F38" s="3">
        <f>IF(C38=0,"",SUMIFS(Transactions!I:I,Transactions!B:B,A38,Transactions!D:D,"BUY")/C38)</f>
        <v/>
      </c>
      <c r="G38" s="3">
        <f>IF(E38="","",E38*F38)</f>
        <v/>
      </c>
      <c r="H38" s="3" t="n"/>
      <c r="I38" s="3">
        <f>IF(E38="","",IF(H38="","",E38*H38))</f>
        <v/>
      </c>
      <c r="J38" s="3">
        <f>IF(I38="","",I38-G38)</f>
        <v/>
      </c>
      <c r="K38" s="5">
        <f>IF(G38=0,"",IF(J38="","",(J38/G38)*100))</f>
        <v/>
      </c>
    </row>
    <row r="39">
      <c r="B39">
        <f>IF(A39="","",IFERROR(INDEX(Transactions!C:C,MATCH(A39,Transactions!B:B,0)),""))</f>
        <v/>
      </c>
      <c r="C39">
        <f>IF(A39="","",SUMIFS(Transactions!E:E,Transactions!B:B,A39,Transactions!D:D,"BUY"))</f>
        <v/>
      </c>
      <c r="D39">
        <f>IF(A39="","",SUMIFS(Transactions!E:E,Transactions!B:B,A39,Transactions!D:D,"SELL"))</f>
        <v/>
      </c>
      <c r="E39">
        <f>IF(A39="","",C39-D39)</f>
        <v/>
      </c>
      <c r="F39" s="3">
        <f>IF(C39=0,"",SUMIFS(Transactions!I:I,Transactions!B:B,A39,Transactions!D:D,"BUY")/C39)</f>
        <v/>
      </c>
      <c r="G39" s="3">
        <f>IF(E39="","",E39*F39)</f>
        <v/>
      </c>
      <c r="H39" s="3" t="n"/>
      <c r="I39" s="3">
        <f>IF(E39="","",IF(H39="","",E39*H39))</f>
        <v/>
      </c>
      <c r="J39" s="3">
        <f>IF(I39="","",I39-G39)</f>
        <v/>
      </c>
      <c r="K39" s="5">
        <f>IF(G39=0,"",IF(J39="","",(J39/G39)*100))</f>
        <v/>
      </c>
    </row>
    <row r="40">
      <c r="B40">
        <f>IF(A40="","",IFERROR(INDEX(Transactions!C:C,MATCH(A40,Transactions!B:B,0)),""))</f>
        <v/>
      </c>
      <c r="C40">
        <f>IF(A40="","",SUMIFS(Transactions!E:E,Transactions!B:B,A40,Transactions!D:D,"BUY"))</f>
        <v/>
      </c>
      <c r="D40">
        <f>IF(A40="","",SUMIFS(Transactions!E:E,Transactions!B:B,A40,Transactions!D:D,"SELL"))</f>
        <v/>
      </c>
      <c r="E40">
        <f>IF(A40="","",C40-D40)</f>
        <v/>
      </c>
      <c r="F40" s="3">
        <f>IF(C40=0,"",SUMIFS(Transactions!I:I,Transactions!B:B,A40,Transactions!D:D,"BUY")/C40)</f>
        <v/>
      </c>
      <c r="G40" s="3">
        <f>IF(E40="","",E40*F40)</f>
        <v/>
      </c>
      <c r="H40" s="3" t="n"/>
      <c r="I40" s="3">
        <f>IF(E40="","",IF(H40="","",E40*H40))</f>
        <v/>
      </c>
      <c r="J40" s="3">
        <f>IF(I40="","",I40-G40)</f>
        <v/>
      </c>
      <c r="K40" s="5">
        <f>IF(G40=0,"",IF(J40="","",(J40/G40)*100))</f>
        <v/>
      </c>
    </row>
    <row r="41">
      <c r="B41">
        <f>IF(A41="","",IFERROR(INDEX(Transactions!C:C,MATCH(A41,Transactions!B:B,0)),""))</f>
        <v/>
      </c>
      <c r="C41">
        <f>IF(A41="","",SUMIFS(Transactions!E:E,Transactions!B:B,A41,Transactions!D:D,"BUY"))</f>
        <v/>
      </c>
      <c r="D41">
        <f>IF(A41="","",SUMIFS(Transactions!E:E,Transactions!B:B,A41,Transactions!D:D,"SELL"))</f>
        <v/>
      </c>
      <c r="E41">
        <f>IF(A41="","",C41-D41)</f>
        <v/>
      </c>
      <c r="F41" s="3">
        <f>IF(C41=0,"",SUMIFS(Transactions!I:I,Transactions!B:B,A41,Transactions!D:D,"BUY")/C41)</f>
        <v/>
      </c>
      <c r="G41" s="3">
        <f>IF(E41="","",E41*F41)</f>
        <v/>
      </c>
      <c r="H41" s="3" t="n"/>
      <c r="I41" s="3">
        <f>IF(E41="","",IF(H41="","",E41*H41))</f>
        <v/>
      </c>
      <c r="J41" s="3">
        <f>IF(I41="","",I41-G41)</f>
        <v/>
      </c>
      <c r="K41" s="5">
        <f>IF(G41=0,"",IF(J41="","",(J41/G41)*100))</f>
        <v/>
      </c>
    </row>
    <row r="42">
      <c r="B42">
        <f>IF(A42="","",IFERROR(INDEX(Transactions!C:C,MATCH(A42,Transactions!B:B,0)),""))</f>
        <v/>
      </c>
      <c r="C42">
        <f>IF(A42="","",SUMIFS(Transactions!E:E,Transactions!B:B,A42,Transactions!D:D,"BUY"))</f>
        <v/>
      </c>
      <c r="D42">
        <f>IF(A42="","",SUMIFS(Transactions!E:E,Transactions!B:B,A42,Transactions!D:D,"SELL"))</f>
        <v/>
      </c>
      <c r="E42">
        <f>IF(A42="","",C42-D42)</f>
        <v/>
      </c>
      <c r="F42" s="3">
        <f>IF(C42=0,"",SUMIFS(Transactions!I:I,Transactions!B:B,A42,Transactions!D:D,"BUY")/C42)</f>
        <v/>
      </c>
      <c r="G42" s="3">
        <f>IF(E42="","",E42*F42)</f>
        <v/>
      </c>
      <c r="H42" s="3" t="n"/>
      <c r="I42" s="3">
        <f>IF(E42="","",IF(H42="","",E42*H42))</f>
        <v/>
      </c>
      <c r="J42" s="3">
        <f>IF(I42="","",I42-G42)</f>
        <v/>
      </c>
      <c r="K42" s="5">
        <f>IF(G42=0,"",IF(J42="","",(J42/G42)*100))</f>
        <v/>
      </c>
    </row>
    <row r="43">
      <c r="B43">
        <f>IF(A43="","",IFERROR(INDEX(Transactions!C:C,MATCH(A43,Transactions!B:B,0)),""))</f>
        <v/>
      </c>
      <c r="C43">
        <f>IF(A43="","",SUMIFS(Transactions!E:E,Transactions!B:B,A43,Transactions!D:D,"BUY"))</f>
        <v/>
      </c>
      <c r="D43">
        <f>IF(A43="","",SUMIFS(Transactions!E:E,Transactions!B:B,A43,Transactions!D:D,"SELL"))</f>
        <v/>
      </c>
      <c r="E43">
        <f>IF(A43="","",C43-D43)</f>
        <v/>
      </c>
      <c r="F43" s="3">
        <f>IF(C43=0,"",SUMIFS(Transactions!I:I,Transactions!B:B,A43,Transactions!D:D,"BUY")/C43)</f>
        <v/>
      </c>
      <c r="G43" s="3">
        <f>IF(E43="","",E43*F43)</f>
        <v/>
      </c>
      <c r="H43" s="3" t="n"/>
      <c r="I43" s="3">
        <f>IF(E43="","",IF(H43="","",E43*H43))</f>
        <v/>
      </c>
      <c r="J43" s="3">
        <f>IF(I43="","",I43-G43)</f>
        <v/>
      </c>
      <c r="K43" s="5">
        <f>IF(G43=0,"",IF(J43="","",(J43/G43)*100))</f>
        <v/>
      </c>
    </row>
    <row r="44">
      <c r="B44">
        <f>IF(A44="","",IFERROR(INDEX(Transactions!C:C,MATCH(A44,Transactions!B:B,0)),""))</f>
        <v/>
      </c>
      <c r="C44">
        <f>IF(A44="","",SUMIFS(Transactions!E:E,Transactions!B:B,A44,Transactions!D:D,"BUY"))</f>
        <v/>
      </c>
      <c r="D44">
        <f>IF(A44="","",SUMIFS(Transactions!E:E,Transactions!B:B,A44,Transactions!D:D,"SELL"))</f>
        <v/>
      </c>
      <c r="E44">
        <f>IF(A44="","",C44-D44)</f>
        <v/>
      </c>
      <c r="F44" s="3">
        <f>IF(C44=0,"",SUMIFS(Transactions!I:I,Transactions!B:B,A44,Transactions!D:D,"BUY")/C44)</f>
        <v/>
      </c>
      <c r="G44" s="3">
        <f>IF(E44="","",E44*F44)</f>
        <v/>
      </c>
      <c r="H44" s="3" t="n"/>
      <c r="I44" s="3">
        <f>IF(E44="","",IF(H44="","",E44*H44))</f>
        <v/>
      </c>
      <c r="J44" s="3">
        <f>IF(I44="","",I44-G44)</f>
        <v/>
      </c>
      <c r="K44" s="5">
        <f>IF(G44=0,"",IF(J44="","",(J44/G44)*100))</f>
        <v/>
      </c>
    </row>
    <row r="45">
      <c r="B45">
        <f>IF(A45="","",IFERROR(INDEX(Transactions!C:C,MATCH(A45,Transactions!B:B,0)),""))</f>
        <v/>
      </c>
      <c r="C45">
        <f>IF(A45="","",SUMIFS(Transactions!E:E,Transactions!B:B,A45,Transactions!D:D,"BUY"))</f>
        <v/>
      </c>
      <c r="D45">
        <f>IF(A45="","",SUMIFS(Transactions!E:E,Transactions!B:B,A45,Transactions!D:D,"SELL"))</f>
        <v/>
      </c>
      <c r="E45">
        <f>IF(A45="","",C45-D45)</f>
        <v/>
      </c>
      <c r="F45" s="3">
        <f>IF(C45=0,"",SUMIFS(Transactions!I:I,Transactions!B:B,A45,Transactions!D:D,"BUY")/C45)</f>
        <v/>
      </c>
      <c r="G45" s="3">
        <f>IF(E45="","",E45*F45)</f>
        <v/>
      </c>
      <c r="H45" s="3" t="n"/>
      <c r="I45" s="3">
        <f>IF(E45="","",IF(H45="","",E45*H45))</f>
        <v/>
      </c>
      <c r="J45" s="3">
        <f>IF(I45="","",I45-G45)</f>
        <v/>
      </c>
      <c r="K45" s="5">
        <f>IF(G45=0,"",IF(J45="","",(J45/G45)*100))</f>
        <v/>
      </c>
    </row>
    <row r="46">
      <c r="B46">
        <f>IF(A46="","",IFERROR(INDEX(Transactions!C:C,MATCH(A46,Transactions!B:B,0)),""))</f>
        <v/>
      </c>
      <c r="C46">
        <f>IF(A46="","",SUMIFS(Transactions!E:E,Transactions!B:B,A46,Transactions!D:D,"BUY"))</f>
        <v/>
      </c>
      <c r="D46">
        <f>IF(A46="","",SUMIFS(Transactions!E:E,Transactions!B:B,A46,Transactions!D:D,"SELL"))</f>
        <v/>
      </c>
      <c r="E46">
        <f>IF(A46="","",C46-D46)</f>
        <v/>
      </c>
      <c r="F46" s="3">
        <f>IF(C46=0,"",SUMIFS(Transactions!I:I,Transactions!B:B,A46,Transactions!D:D,"BUY")/C46)</f>
        <v/>
      </c>
      <c r="G46" s="3">
        <f>IF(E46="","",E46*F46)</f>
        <v/>
      </c>
      <c r="H46" s="3" t="n"/>
      <c r="I46" s="3">
        <f>IF(E46="","",IF(H46="","",E46*H46))</f>
        <v/>
      </c>
      <c r="J46" s="3">
        <f>IF(I46="","",I46-G46)</f>
        <v/>
      </c>
      <c r="K46" s="5">
        <f>IF(G46=0,"",IF(J46="","",(J46/G46)*100))</f>
        <v/>
      </c>
    </row>
    <row r="47">
      <c r="B47">
        <f>IF(A47="","",IFERROR(INDEX(Transactions!C:C,MATCH(A47,Transactions!B:B,0)),""))</f>
        <v/>
      </c>
      <c r="C47">
        <f>IF(A47="","",SUMIFS(Transactions!E:E,Transactions!B:B,A47,Transactions!D:D,"BUY"))</f>
        <v/>
      </c>
      <c r="D47">
        <f>IF(A47="","",SUMIFS(Transactions!E:E,Transactions!B:B,A47,Transactions!D:D,"SELL"))</f>
        <v/>
      </c>
      <c r="E47">
        <f>IF(A47="","",C47-D47)</f>
        <v/>
      </c>
      <c r="F47" s="3">
        <f>IF(C47=0,"",SUMIFS(Transactions!I:I,Transactions!B:B,A47,Transactions!D:D,"BUY")/C47)</f>
        <v/>
      </c>
      <c r="G47" s="3">
        <f>IF(E47="","",E47*F47)</f>
        <v/>
      </c>
      <c r="H47" s="3" t="n"/>
      <c r="I47" s="3">
        <f>IF(E47="","",IF(H47="","",E47*H47))</f>
        <v/>
      </c>
      <c r="J47" s="3">
        <f>IF(I47="","",I47-G47)</f>
        <v/>
      </c>
      <c r="K47" s="5">
        <f>IF(G47=0,"",IF(J47="","",(J47/G47)*100))</f>
        <v/>
      </c>
    </row>
    <row r="48">
      <c r="B48">
        <f>IF(A48="","",IFERROR(INDEX(Transactions!C:C,MATCH(A48,Transactions!B:B,0)),""))</f>
        <v/>
      </c>
      <c r="C48">
        <f>IF(A48="","",SUMIFS(Transactions!E:E,Transactions!B:B,A48,Transactions!D:D,"BUY"))</f>
        <v/>
      </c>
      <c r="D48">
        <f>IF(A48="","",SUMIFS(Transactions!E:E,Transactions!B:B,A48,Transactions!D:D,"SELL"))</f>
        <v/>
      </c>
      <c r="E48">
        <f>IF(A48="","",C48-D48)</f>
        <v/>
      </c>
      <c r="F48" s="3">
        <f>IF(C48=0,"",SUMIFS(Transactions!I:I,Transactions!B:B,A48,Transactions!D:D,"BUY")/C48)</f>
        <v/>
      </c>
      <c r="G48" s="3">
        <f>IF(E48="","",E48*F48)</f>
        <v/>
      </c>
      <c r="H48" s="3" t="n"/>
      <c r="I48" s="3">
        <f>IF(E48="","",IF(H48="","",E48*H48))</f>
        <v/>
      </c>
      <c r="J48" s="3">
        <f>IF(I48="","",I48-G48)</f>
        <v/>
      </c>
      <c r="K48" s="5">
        <f>IF(G48=0,"",IF(J48="","",(J48/G48)*100))</f>
        <v/>
      </c>
    </row>
    <row r="49">
      <c r="B49">
        <f>IF(A49="","",IFERROR(INDEX(Transactions!C:C,MATCH(A49,Transactions!B:B,0)),""))</f>
        <v/>
      </c>
      <c r="C49">
        <f>IF(A49="","",SUMIFS(Transactions!E:E,Transactions!B:B,A49,Transactions!D:D,"BUY"))</f>
        <v/>
      </c>
      <c r="D49">
        <f>IF(A49="","",SUMIFS(Transactions!E:E,Transactions!B:B,A49,Transactions!D:D,"SELL"))</f>
        <v/>
      </c>
      <c r="E49">
        <f>IF(A49="","",C49-D49)</f>
        <v/>
      </c>
      <c r="F49" s="3">
        <f>IF(C49=0,"",SUMIFS(Transactions!I:I,Transactions!B:B,A49,Transactions!D:D,"BUY")/C49)</f>
        <v/>
      </c>
      <c r="G49" s="3">
        <f>IF(E49="","",E49*F49)</f>
        <v/>
      </c>
      <c r="H49" s="3" t="n"/>
      <c r="I49" s="3">
        <f>IF(E49="","",IF(H49="","",E49*H49))</f>
        <v/>
      </c>
      <c r="J49" s="3">
        <f>IF(I49="","",I49-G49)</f>
        <v/>
      </c>
      <c r="K49" s="5">
        <f>IF(G49=0,"",IF(J49="","",(J49/G49)*100))</f>
        <v/>
      </c>
    </row>
    <row r="50">
      <c r="B50">
        <f>IF(A50="","",IFERROR(INDEX(Transactions!C:C,MATCH(A50,Transactions!B:B,0)),""))</f>
        <v/>
      </c>
      <c r="C50">
        <f>IF(A50="","",SUMIFS(Transactions!E:E,Transactions!B:B,A50,Transactions!D:D,"BUY"))</f>
        <v/>
      </c>
      <c r="D50">
        <f>IF(A50="","",SUMIFS(Transactions!E:E,Transactions!B:B,A50,Transactions!D:D,"SELL"))</f>
        <v/>
      </c>
      <c r="E50">
        <f>IF(A50="","",C50-D50)</f>
        <v/>
      </c>
      <c r="F50" s="3">
        <f>IF(C50=0,"",SUMIFS(Transactions!I:I,Transactions!B:B,A50,Transactions!D:D,"BUY")/C50)</f>
        <v/>
      </c>
      <c r="G50" s="3">
        <f>IF(E50="","",E50*F50)</f>
        <v/>
      </c>
      <c r="H50" s="3" t="n"/>
      <c r="I50" s="3">
        <f>IF(E50="","",IF(H50="","",E50*H50))</f>
        <v/>
      </c>
      <c r="J50" s="3">
        <f>IF(I50="","",I50-G50)</f>
        <v/>
      </c>
      <c r="K50" s="5">
        <f>IF(G50=0,"",IF(J50="","",(J50/G50)*100))</f>
        <v/>
      </c>
    </row>
    <row r="51">
      <c r="B51">
        <f>IF(A51="","",IFERROR(INDEX(Transactions!C:C,MATCH(A51,Transactions!B:B,0)),""))</f>
        <v/>
      </c>
      <c r="C51">
        <f>IF(A51="","",SUMIFS(Transactions!E:E,Transactions!B:B,A51,Transactions!D:D,"BUY"))</f>
        <v/>
      </c>
      <c r="D51">
        <f>IF(A51="","",SUMIFS(Transactions!E:E,Transactions!B:B,A51,Transactions!D:D,"SELL"))</f>
        <v/>
      </c>
      <c r="E51">
        <f>IF(A51="","",C51-D51)</f>
        <v/>
      </c>
      <c r="F51" s="3">
        <f>IF(C51=0,"",SUMIFS(Transactions!I:I,Transactions!B:B,A51,Transactions!D:D,"BUY")/C51)</f>
        <v/>
      </c>
      <c r="G51" s="3">
        <f>IF(E51="","",E51*F51)</f>
        <v/>
      </c>
      <c r="H51" s="3" t="n"/>
      <c r="I51" s="3">
        <f>IF(E51="","",IF(H51="","",E51*H51))</f>
        <v/>
      </c>
      <c r="J51" s="3">
        <f>IF(I51="","",I51-G51)</f>
        <v/>
      </c>
      <c r="K51" s="5">
        <f>IF(G51=0,"",IF(J51="","",(J51/G51)*100))</f>
        <v/>
      </c>
    </row>
  </sheetData>
  <conditionalFormatting sqref="J2:J5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51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8" customWidth="1" min="4" max="4"/>
    <col width="10" customWidth="1" min="5" max="5"/>
    <col width="12" customWidth="1" min="6" max="6"/>
    <col width="15" customWidth="1" min="7" max="7"/>
  </cols>
  <sheetData>
    <row r="1">
      <c r="A1" s="6" t="inlineStr">
        <is>
          <t>SHARES TRADING DASHBOARD</t>
        </is>
      </c>
    </row>
    <row r="3">
      <c r="A3" s="7" t="inlineStr">
        <is>
          <t>KEY METRICS</t>
        </is>
      </c>
      <c r="D3" s="7" t="inlineStr">
        <is>
          <t>TOP PERFORMERS</t>
        </is>
      </c>
    </row>
    <row r="4">
      <c r="D4" s="8" t="inlineStr">
        <is>
          <t>Ticker</t>
        </is>
      </c>
      <c r="E4" s="8" t="inlineStr">
        <is>
          <t>Stock Name</t>
        </is>
      </c>
      <c r="F4" s="8" t="inlineStr">
        <is>
          <t>Holdings</t>
        </is>
      </c>
      <c r="G4" s="8" t="inlineStr">
        <is>
          <t>P/L $</t>
        </is>
      </c>
    </row>
    <row r="5">
      <c r="A5" s="9" t="inlineStr">
        <is>
          <t>Total Investment</t>
        </is>
      </c>
      <c r="B5" s="10">
        <f>SUM(Portfolio!G:G)</f>
        <v/>
      </c>
      <c r="D5" s="11" t="inlineStr">
        <is>
          <t>Note: Manually copy top</t>
        </is>
      </c>
    </row>
    <row r="6">
      <c r="A6" s="9" t="inlineStr">
        <is>
          <t>Current Portfolio Value</t>
        </is>
      </c>
      <c r="B6" s="10">
        <f>SUM(Portfolio!I:I)</f>
        <v/>
      </c>
      <c r="D6" s="11" t="inlineStr">
        <is>
          <t>stocks from Portfolio sheet</t>
        </is>
      </c>
    </row>
    <row r="7">
      <c r="A7" s="9" t="inlineStr">
        <is>
          <t>Total Profit/Loss</t>
        </is>
      </c>
      <c r="B7" s="10">
        <f>B6-B5</f>
        <v/>
      </c>
    </row>
    <row r="8">
      <c r="A8" s="9" t="inlineStr">
        <is>
          <t>Total P/L %</t>
        </is>
      </c>
      <c r="B8" s="12">
        <f>IF(B5=0,0,(B7/B5)*100)</f>
        <v/>
      </c>
    </row>
    <row r="9">
      <c r="A9" s="9" t="inlineStr">
        <is>
          <t>Number of Active Stocks</t>
        </is>
      </c>
      <c r="B9" s="13">
        <f>COUNTIF(Portfolio!E:E,"&gt;0")</f>
        <v/>
      </c>
    </row>
    <row r="10">
      <c r="A10" s="9" t="inlineStr">
        <is>
          <t>Total Transactions</t>
        </is>
      </c>
      <c r="B10" s="13">
        <f>COUNTA(Transactions!A:A)-1</f>
        <v/>
      </c>
    </row>
    <row r="12">
      <c r="A12" s="7" t="inlineStr">
        <is>
          <t>RECENT TRANSACTIONS (Last 10)</t>
        </is>
      </c>
    </row>
    <row r="13">
      <c r="A13" s="14" t="inlineStr">
        <is>
          <t>Date</t>
        </is>
      </c>
      <c r="B13" s="14" t="inlineStr">
        <is>
          <t>Ticker</t>
        </is>
      </c>
      <c r="C13" s="14" t="inlineStr">
        <is>
          <t>Stock Name</t>
        </is>
      </c>
      <c r="D13" s="14" t="inlineStr">
        <is>
          <t>Type</t>
        </is>
      </c>
      <c r="E13" s="14" t="inlineStr">
        <is>
          <t>Quantity</t>
        </is>
      </c>
      <c r="F13" s="14" t="inlineStr">
        <is>
          <t>Price</t>
        </is>
      </c>
      <c r="G13" s="14" t="inlineStr">
        <is>
          <t>Net Amount</t>
        </is>
      </c>
    </row>
    <row r="14">
      <c r="A14" s="2">
        <f>IF(Transactions!A2="","",Transactions!A2)</f>
        <v/>
      </c>
      <c r="B14">
        <f>IF(Transactions!B2="","",Transactions!B2)</f>
        <v/>
      </c>
      <c r="C14">
        <f>IF(Transactions!C2="","",Transactions!C2)</f>
        <v/>
      </c>
      <c r="D14">
        <f>IF(Transactions!D2="","",Transactions!D2)</f>
        <v/>
      </c>
      <c r="E14">
        <f>IF(Transactions!E2="","",Transactions!E2)</f>
        <v/>
      </c>
      <c r="F14" s="3">
        <f>IF(Transactions!F2="","",Transactions!F2)</f>
        <v/>
      </c>
      <c r="G14" s="3">
        <f>IF(Transactions!I2="","",Transactions!I2)</f>
        <v/>
      </c>
    </row>
    <row r="15">
      <c r="A15" s="2">
        <f>IF(Transactions!A3="","",Transactions!A3)</f>
        <v/>
      </c>
      <c r="B15">
        <f>IF(Transactions!B3="","",Transactions!B3)</f>
        <v/>
      </c>
      <c r="C15">
        <f>IF(Transactions!C3="","",Transactions!C3)</f>
        <v/>
      </c>
      <c r="D15">
        <f>IF(Transactions!D3="","",Transactions!D3)</f>
        <v/>
      </c>
      <c r="E15">
        <f>IF(Transactions!E3="","",Transactions!E3)</f>
        <v/>
      </c>
      <c r="F15" s="3">
        <f>IF(Transactions!F3="","",Transactions!F3)</f>
        <v/>
      </c>
      <c r="G15" s="3">
        <f>IF(Transactions!I3="","",Transactions!I3)</f>
        <v/>
      </c>
    </row>
    <row r="16">
      <c r="A16" s="2">
        <f>IF(Transactions!A4="","",Transactions!A4)</f>
        <v/>
      </c>
      <c r="B16">
        <f>IF(Transactions!B4="","",Transactions!B4)</f>
        <v/>
      </c>
      <c r="C16">
        <f>IF(Transactions!C4="","",Transactions!C4)</f>
        <v/>
      </c>
      <c r="D16">
        <f>IF(Transactions!D4="","",Transactions!D4)</f>
        <v/>
      </c>
      <c r="E16">
        <f>IF(Transactions!E4="","",Transactions!E4)</f>
        <v/>
      </c>
      <c r="F16" s="3">
        <f>IF(Transactions!F4="","",Transactions!F4)</f>
        <v/>
      </c>
      <c r="G16" s="3">
        <f>IF(Transactions!I4="","",Transactions!I4)</f>
        <v/>
      </c>
    </row>
    <row r="17">
      <c r="A17" s="2">
        <f>IF(Transactions!A5="","",Transactions!A5)</f>
        <v/>
      </c>
      <c r="B17">
        <f>IF(Transactions!B5="","",Transactions!B5)</f>
        <v/>
      </c>
      <c r="C17">
        <f>IF(Transactions!C5="","",Transactions!C5)</f>
        <v/>
      </c>
      <c r="D17">
        <f>IF(Transactions!D5="","",Transactions!D5)</f>
        <v/>
      </c>
      <c r="E17">
        <f>IF(Transactions!E5="","",Transactions!E5)</f>
        <v/>
      </c>
      <c r="F17" s="3">
        <f>IF(Transactions!F5="","",Transactions!F5)</f>
        <v/>
      </c>
      <c r="G17" s="3">
        <f>IF(Transactions!I5="","",Transactions!I5)</f>
        <v/>
      </c>
    </row>
    <row r="18">
      <c r="A18" s="2">
        <f>IF(Transactions!A6="","",Transactions!A6)</f>
        <v/>
      </c>
      <c r="B18">
        <f>IF(Transactions!B6="","",Transactions!B6)</f>
        <v/>
      </c>
      <c r="C18">
        <f>IF(Transactions!C6="","",Transactions!C6)</f>
        <v/>
      </c>
      <c r="D18">
        <f>IF(Transactions!D6="","",Transactions!D6)</f>
        <v/>
      </c>
      <c r="E18">
        <f>IF(Transactions!E6="","",Transactions!E6)</f>
        <v/>
      </c>
      <c r="F18" s="3">
        <f>IF(Transactions!F6="","",Transactions!F6)</f>
        <v/>
      </c>
      <c r="G18" s="3">
        <f>IF(Transactions!I6="","",Transactions!I6)</f>
        <v/>
      </c>
    </row>
    <row r="19">
      <c r="A19" s="2">
        <f>IF(Transactions!A7="","",Transactions!A7)</f>
        <v/>
      </c>
      <c r="B19">
        <f>IF(Transactions!B7="","",Transactions!B7)</f>
        <v/>
      </c>
      <c r="C19">
        <f>IF(Transactions!C7="","",Transactions!C7)</f>
        <v/>
      </c>
      <c r="D19">
        <f>IF(Transactions!D7="","",Transactions!D7)</f>
        <v/>
      </c>
      <c r="E19">
        <f>IF(Transactions!E7="","",Transactions!E7)</f>
        <v/>
      </c>
      <c r="F19" s="3">
        <f>IF(Transactions!F7="","",Transactions!F7)</f>
        <v/>
      </c>
      <c r="G19" s="3">
        <f>IF(Transactions!I7="","",Transactions!I7)</f>
        <v/>
      </c>
    </row>
    <row r="20">
      <c r="A20" s="2">
        <f>IF(Transactions!A8="","",Transactions!A8)</f>
        <v/>
      </c>
      <c r="B20">
        <f>IF(Transactions!B8="","",Transactions!B8)</f>
        <v/>
      </c>
      <c r="C20">
        <f>IF(Transactions!C8="","",Transactions!C8)</f>
        <v/>
      </c>
      <c r="D20">
        <f>IF(Transactions!D8="","",Transactions!D8)</f>
        <v/>
      </c>
      <c r="E20">
        <f>IF(Transactions!E8="","",Transactions!E8)</f>
        <v/>
      </c>
      <c r="F20" s="3">
        <f>IF(Transactions!F8="","",Transactions!F8)</f>
        <v/>
      </c>
      <c r="G20" s="3">
        <f>IF(Transactions!I8="","",Transactions!I8)</f>
        <v/>
      </c>
    </row>
    <row r="21">
      <c r="A21" s="2">
        <f>IF(Transactions!A9="","",Transactions!A9)</f>
        <v/>
      </c>
      <c r="B21">
        <f>IF(Transactions!B9="","",Transactions!B9)</f>
        <v/>
      </c>
      <c r="C21">
        <f>IF(Transactions!C9="","",Transactions!C9)</f>
        <v/>
      </c>
      <c r="D21">
        <f>IF(Transactions!D9="","",Transactions!D9)</f>
        <v/>
      </c>
      <c r="E21">
        <f>IF(Transactions!E9="","",Transactions!E9)</f>
        <v/>
      </c>
      <c r="F21" s="3">
        <f>IF(Transactions!F9="","",Transactions!F9)</f>
        <v/>
      </c>
      <c r="G21" s="3">
        <f>IF(Transactions!I9="","",Transactions!I9)</f>
        <v/>
      </c>
    </row>
    <row r="22">
      <c r="A22" s="2">
        <f>IF(Transactions!A10="","",Transactions!A10)</f>
        <v/>
      </c>
      <c r="B22">
        <f>IF(Transactions!B10="","",Transactions!B10)</f>
        <v/>
      </c>
      <c r="C22">
        <f>IF(Transactions!C10="","",Transactions!C10)</f>
        <v/>
      </c>
      <c r="D22">
        <f>IF(Transactions!D10="","",Transactions!D10)</f>
        <v/>
      </c>
      <c r="E22">
        <f>IF(Transactions!E10="","",Transactions!E10)</f>
        <v/>
      </c>
      <c r="F22" s="3">
        <f>IF(Transactions!F10="","",Transactions!F10)</f>
        <v/>
      </c>
      <c r="G22" s="3">
        <f>IF(Transactions!I10="","",Transactions!I10)</f>
        <v/>
      </c>
    </row>
    <row r="23">
      <c r="A23" s="2">
        <f>IF(Transactions!A11="","",Transactions!A11)</f>
        <v/>
      </c>
      <c r="B23">
        <f>IF(Transactions!B11="","",Transactions!B11)</f>
        <v/>
      </c>
      <c r="C23">
        <f>IF(Transactions!C11="","",Transactions!C11)</f>
        <v/>
      </c>
      <c r="D23">
        <f>IF(Transactions!D11="","",Transactions!D11)</f>
        <v/>
      </c>
      <c r="E23">
        <f>IF(Transactions!E11="","",Transactions!E11)</f>
        <v/>
      </c>
      <c r="F23" s="3">
        <f>IF(Transactions!F11="","",Transactions!F11)</f>
        <v/>
      </c>
      <c r="G23" s="3">
        <f>IF(Transactions!I11="","",Transactions!I11)</f>
        <v/>
      </c>
    </row>
  </sheetData>
  <mergeCells count="6">
    <mergeCell ref="D3:G3"/>
    <mergeCell ref="A1:F1"/>
    <mergeCell ref="D6:G6"/>
    <mergeCell ref="A12:G12"/>
    <mergeCell ref="A3:C3"/>
    <mergeCell ref="D5:G5"/>
  </mergeCells>
  <conditionalFormatting sqref="B7:B8">
    <cfRule type="cellIs" priority="1" operator="lessThan" dxfId="2">
      <formula>0</formula>
    </cfRule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50" customWidth="1" min="6" max="6"/>
  </cols>
  <sheetData>
    <row r="1">
      <c r="A1" s="7" t="inlineStr">
        <is>
          <t>SETTINGS &amp; REFERENCE DATA</t>
        </is>
      </c>
    </row>
    <row r="3">
      <c r="A3" s="15" t="inlineStr">
        <is>
          <t>Stock Reference Table</t>
        </is>
      </c>
      <c r="F3" s="16" t="inlineStr">
        <is>
          <t>INSTRUCTIONS</t>
        </is>
      </c>
    </row>
    <row r="4">
      <c r="A4" s="17" t="inlineStr">
        <is>
          <t>Ticker Symbol</t>
        </is>
      </c>
      <c r="B4" s="17" t="inlineStr">
        <is>
          <t>Full Stock Name</t>
        </is>
      </c>
      <c r="C4" s="17" t="inlineStr">
        <is>
          <t>Sector</t>
        </is>
      </c>
      <c r="D4" s="17" t="inlineStr">
        <is>
          <t>Notes</t>
        </is>
      </c>
      <c r="F4" s="18" t="inlineStr">
        <is>
          <t>1. Enter all buy/sell transactions in the 'Transactions' sheet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F5" s="18" t="inlineStr">
        <is>
          <t>2. In the 'Portfolio' sheet, manually enter ticker symbols in column 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F6" s="18" t="inlineStr">
        <is>
          <t>3. All calculations will update automatically</t>
        </is>
      </c>
    </row>
    <row r="7">
      <c r="A7" t="inlineStr">
        <is>
          <t>GOOGL</t>
        </is>
      </c>
      <c r="B7" t="inlineStr">
        <is>
          <t>Alphabet Inc.</t>
        </is>
      </c>
      <c r="C7" t="inlineStr">
        <is>
          <t>Technology</t>
        </is>
      </c>
      <c r="F7" s="18" t="inlineStr">
        <is>
          <t>4. Update 'Current Market Price' in Portfolio sheet regularly</t>
        </is>
      </c>
    </row>
    <row r="8">
      <c r="A8" t="inlineStr">
        <is>
          <t>TSLA</t>
        </is>
      </c>
      <c r="B8" t="inlineStr">
        <is>
          <t>Tesla Inc.</t>
        </is>
      </c>
      <c r="C8" t="inlineStr">
        <is>
          <t>Automotive</t>
        </is>
      </c>
      <c r="F8" s="18" t="inlineStr">
        <is>
          <t>5. View summary metrics in the 'Dashboard' sheet</t>
        </is>
      </c>
    </row>
    <row r="9">
      <c r="A9" t="inlineStr">
        <is>
          <t>AMZN</t>
        </is>
      </c>
      <c r="B9" t="inlineStr">
        <is>
          <t>Amazon.com Inc.</t>
        </is>
      </c>
      <c r="C9" t="inlineStr">
        <is>
          <t>E-Commerce</t>
        </is>
      </c>
      <c r="F9" s="18" t="inlineStr"/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Technology</t>
        </is>
      </c>
      <c r="F10" s="19" t="inlineStr">
        <is>
          <t>Tips:</t>
        </is>
      </c>
    </row>
    <row r="11">
      <c r="A11" t="inlineStr">
        <is>
          <t>META</t>
        </is>
      </c>
      <c r="B11" t="inlineStr">
        <is>
          <t>Meta Platforms Inc.</t>
        </is>
      </c>
      <c r="C11" t="inlineStr">
        <is>
          <t>Technology</t>
        </is>
      </c>
      <c r="F11" s="18" t="inlineStr">
        <is>
          <t>- Use consistent ticker symbols across all sheets</t>
        </is>
      </c>
    </row>
    <row r="12">
      <c r="F12" s="18" t="inlineStr">
        <is>
          <t>- Brokerage fees can be 0 if not applicable</t>
        </is>
      </c>
    </row>
    <row r="13">
      <c r="F13" s="18" t="inlineStr">
        <is>
          <t>- Dashboard shows real-time portfolio status</t>
        </is>
      </c>
    </row>
    <row r="14">
      <c r="F14" s="18" t="inlineStr">
        <is>
          <t>- Export data regularly for backup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2026-05-30T11:14:38Z</dcterms:created>
  <dcterms:modified xsi:type="dcterms:W3CDTF">2026-05-30T11:14:38Z</dcterms:modified>
</cp:coreProperties>
</file>